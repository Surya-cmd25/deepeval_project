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Dashboard" sheetId="1" state="visible" r:id="rId1"/>
    <sheet name="Detail Perbandingan" sheetId="2" state="visible" r:id="rId2"/>
  </sheets>
  <definedNames/>
  <calcPr calcId="124519" fullCalcOnLoad="1"/>
</workbook>
</file>

<file path=xl/styles.xml><?xml version="1.0" encoding="utf-8"?>
<styleSheet xmlns="http://schemas.openxmlformats.org/spreadsheetml/2006/main">
  <numFmts count="2">
    <numFmt numFmtId="164" formatCode="0.00&quot;%&quot;"/>
    <numFmt numFmtId="165" formatCode="0.0000"/>
  </numFmts>
  <fonts count="6">
    <font>
      <name val="Calibri"/>
      <family val="2"/>
      <color theme="1"/>
      <sz val="11"/>
      <scheme val="minor"/>
    </font>
    <font>
      <name val="Calibri"/>
      <b val="1"/>
      <color rgb="001F497D"/>
      <sz val="16"/>
    </font>
    <font>
      <name val="Calibri"/>
      <sz val="11"/>
    </font>
    <font>
      <name val="Calibri"/>
      <b val="1"/>
      <color rgb="001F497D"/>
      <sz val="12"/>
    </font>
    <font>
      <name val="Calibri"/>
      <b val="1"/>
      <color rgb="00FFFFFF"/>
      <sz val="11"/>
    </font>
    <font>
      <name val="Calibri"/>
      <b val="1"/>
      <sz val="11"/>
    </font>
  </fonts>
  <fills count="5">
    <fill>
      <patternFill/>
    </fill>
    <fill>
      <patternFill patternType="gray125"/>
    </fill>
    <fill>
      <patternFill patternType="solid">
        <fgColor rgb="001F497D"/>
        <bgColor rgb="001F497D"/>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2" fillId="0" borderId="1" pivotButton="0" quotePrefix="0" xfId="0"/>
    <xf numFmtId="0" fontId="5" fillId="0" borderId="1" pivotButton="0" quotePrefix="0" xfId="0"/>
    <xf numFmtId="0" fontId="5" fillId="3" borderId="1" pivotButton="0" quotePrefix="0" xfId="0"/>
    <xf numFmtId="0" fontId="5" fillId="4" borderId="1" pivotButton="0" quotePrefix="0" xfId="0"/>
    <xf numFmtId="164" fontId="5" fillId="0" borderId="1" pivotButton="0" quotePrefix="0" xfId="0"/>
    <xf numFmtId="2" fontId="5" fillId="0" borderId="1"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xf>
    <xf numFmtId="0" fontId="2" fillId="0" borderId="1" applyAlignment="1" pivotButton="0" quotePrefix="0" xfId="0">
      <alignment horizontal="left" vertical="top" wrapText="1"/>
    </xf>
    <xf numFmtId="2" fontId="2" fillId="0" borderId="1" applyAlignment="1" pivotButton="0" quotePrefix="0" xfId="0">
      <alignment horizontal="right" vertical="top"/>
    </xf>
    <xf numFmtId="165" fontId="2" fillId="0" borderId="1" applyAlignment="1" pivotButton="0" quotePrefix="0" xfId="0">
      <alignment horizontal="right" vertical="top"/>
    </xf>
    <xf numFmtId="0" fontId="5" fillId="3" borderId="1" applyAlignment="1" pivotButton="0" quotePrefix="0" xfId="0">
      <alignment horizontal="center" vertical="top"/>
    </xf>
    <xf numFmtId="0" fontId="5"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showGridLines="1" workbookViewId="0">
      <selection activeCell="A1" sqref="A1"/>
    </sheetView>
  </sheetViews>
  <sheetFormatPr baseColWidth="8" defaultRowHeight="15"/>
  <cols>
    <col width="12" customWidth="1" min="1" max="1"/>
    <col width="45" customWidth="1" min="2" max="2"/>
    <col width="53" customWidth="1" min="3" max="3"/>
  </cols>
  <sheetData>
    <row r="1"/>
    <row r="2">
      <c r="B2" s="1" t="inlineStr">
        <is>
          <t>LAPORAN EVALUASI PERFORMA LLM (BASELINE)</t>
        </is>
      </c>
    </row>
    <row r="3">
      <c r="B3" s="2" t="inlineStr">
        <is>
          <t>Nama Pengujian: Skenario 1 - Baseline LLM</t>
        </is>
      </c>
    </row>
    <row r="4">
      <c r="B4" s="2" t="inlineStr">
        <is>
          <t>Terakhir Diperbarui: 2026-07-03 10:38:18</t>
        </is>
      </c>
    </row>
    <row r="5"/>
    <row r="6">
      <c r="B6" s="3" t="inlineStr">
        <is>
          <t>Ringkasan Statistik Utama</t>
        </is>
      </c>
    </row>
    <row r="7">
      <c r="B7" s="4" t="inlineStr">
        <is>
          <t>Metrik Pengujian</t>
        </is>
      </c>
      <c r="C7" s="4" t="inlineStr">
        <is>
          <t>Rata-rata / Total Nilai</t>
        </is>
      </c>
    </row>
    <row r="8">
      <c r="B8" s="5" t="inlineStr">
        <is>
          <t>Total Kasus Uji</t>
        </is>
      </c>
      <c r="C8" s="6" t="n">
        <v>100</v>
      </c>
    </row>
    <row r="9">
      <c r="B9" s="5" t="inlineStr">
        <is>
          <t>Total Passed (&gt;= 0.85)</t>
        </is>
      </c>
      <c r="C9" s="7">
        <f>COUNTIF('Detail Perbandingan'!O9:O108, "PASSED")</f>
        <v/>
      </c>
    </row>
    <row r="10">
      <c r="B10" s="5" t="inlineStr">
        <is>
          <t>Total Failed (&lt; 0.85)</t>
        </is>
      </c>
      <c r="C10" s="8">
        <f>COUNTIF('Detail Perbandingan'!O9:O108, "FAILED")</f>
        <v/>
      </c>
    </row>
    <row r="11">
      <c r="B11" s="5" t="inlineStr">
        <is>
          <t>Rata-rata Accuracy (%)</t>
        </is>
      </c>
      <c r="C11" s="9">
        <f>AVERAGE('Detail Perbandingan'!G9:G108)</f>
        <v/>
      </c>
    </row>
    <row r="12">
      <c r="B12" s="5" t="inlineStr">
        <is>
          <t>Rata-rata Response Time (s)</t>
        </is>
      </c>
      <c r="C12" s="10">
        <f>AVERAGE('Detail Perbandingan'!H9:H108)</f>
        <v/>
      </c>
    </row>
    <row r="13">
      <c r="B13" s="5" t="inlineStr">
        <is>
          <t>Rata-rata G-Eval (1-5)</t>
        </is>
      </c>
      <c r="C13" s="10">
        <f>AVERAGE('Detail Perbandingan'!I9:I108)</f>
        <v/>
      </c>
    </row>
    <row r="14">
      <c r="B14" s="5" t="inlineStr">
        <is>
          <t>Rata-rata AR Score</t>
        </is>
      </c>
      <c r="C14" s="10">
        <f>AVERAGE('Detail Perbandingan'!J9:J108)</f>
        <v/>
      </c>
    </row>
    <row r="15">
      <c r="B15" s="5" t="inlineStr">
        <is>
          <t>Rata-rata Fact-Checking (%)</t>
        </is>
      </c>
      <c r="C15" s="9">
        <f>AVERAGE('Detail Perbandingan'!K9:K108)</f>
        <v/>
      </c>
    </row>
    <row r="16">
      <c r="B16" s="5" t="inlineStr">
        <is>
          <t>Rata-rata MAE</t>
        </is>
      </c>
      <c r="C16" s="10">
        <f>AVERAGE('Detail Perbandingan'!L9:L108)</f>
        <v/>
      </c>
    </row>
    <row r="17">
      <c r="B17" s="5" t="inlineStr">
        <is>
          <t>Rata-rata RMSE</t>
        </is>
      </c>
      <c r="C17" s="10">
        <f>AVERAGE('Detail Perbandingan'!M9:M108)</f>
        <v/>
      </c>
    </row>
    <row r="18">
      <c r="B18" s="5" t="inlineStr">
        <is>
          <t>Rata-rata MAPE (%)</t>
        </is>
      </c>
      <c r="C18" s="9">
        <f>AVERAGE('Detail Perbandingan'!N9:N108)</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8"/>
  <sheetViews>
    <sheetView showGridLines="1" workbookViewId="0">
      <pane ySplit="8" topLeftCell="A9" activePane="bottomLeft" state="frozen"/>
      <selection pane="bottomLeft" activeCell="A1" sqref="A1"/>
    </sheetView>
  </sheetViews>
  <sheetFormatPr baseColWidth="8" defaultRowHeight="15"/>
  <cols>
    <col width="10" customWidth="1" min="1" max="1"/>
    <col width="14" customWidth="1" min="2" max="2"/>
    <col width="28" customWidth="1" min="3" max="3"/>
    <col width="35" customWidth="1" min="4" max="4"/>
    <col width="40" customWidth="1" min="5" max="5"/>
    <col width="45" customWidth="1" min="6" max="6"/>
    <col width="25" customWidth="1" min="7" max="7"/>
    <col width="21" customWidth="1" min="8" max="8"/>
    <col width="16" customWidth="1" min="9" max="9"/>
    <col width="12" customWidth="1" min="10" max="10"/>
    <col width="21" customWidth="1" min="11" max="11"/>
    <col width="12" customWidth="1" min="12" max="12"/>
    <col width="12" customWidth="1" min="13" max="13"/>
    <col width="12" customWidth="1" min="14" max="14"/>
    <col width="19" customWidth="1" min="15" max="15"/>
    <col width="20" customWidth="1" min="16" max="16"/>
  </cols>
  <sheetData>
    <row r="1"/>
    <row r="2">
      <c r="A2" s="1" t="inlineStr">
        <is>
          <t>DATA DETAIL HASIL EVALUASI PER NOMOR SOAL</t>
        </is>
      </c>
    </row>
    <row r="3"/>
    <row r="4"/>
    <row r="5"/>
    <row r="6"/>
    <row r="7"/>
    <row r="8">
      <c r="A8" s="11" t="inlineStr">
        <is>
          <t>No Soal</t>
        </is>
      </c>
      <c r="B8" s="11" t="inlineStr">
        <is>
          <t>Tipe Query</t>
        </is>
      </c>
      <c r="C8" s="11" t="inlineStr">
        <is>
          <t>Model LLM</t>
        </is>
      </c>
      <c r="D8" s="11" t="inlineStr">
        <is>
          <t>Query</t>
        </is>
      </c>
      <c r="E8" s="11" t="inlineStr">
        <is>
          <t>Expected Output</t>
        </is>
      </c>
      <c r="F8" s="11" t="inlineStr">
        <is>
          <t>Hasil (Actual Output)</t>
        </is>
      </c>
      <c r="G8" s="11" t="inlineStr">
        <is>
          <t>Pipeline Accuracy (%)</t>
        </is>
      </c>
      <c r="H8" s="11" t="inlineStr">
        <is>
          <t>Response Time (s)</t>
        </is>
      </c>
      <c r="I8" s="11" t="inlineStr">
        <is>
          <t>G-Eval (1-5)</t>
        </is>
      </c>
      <c r="J8" s="11" t="inlineStr">
        <is>
          <t>AR Score</t>
        </is>
      </c>
      <c r="K8" s="11" t="inlineStr">
        <is>
          <t>Fact-Checking (%)</t>
        </is>
      </c>
      <c r="L8" s="11" t="inlineStr">
        <is>
          <t>MAE</t>
        </is>
      </c>
      <c r="M8" s="11" t="inlineStr">
        <is>
          <t>RMSE</t>
        </is>
      </c>
      <c r="N8" s="11" t="inlineStr">
        <is>
          <t>MAPE (%)</t>
        </is>
      </c>
      <c r="O8" s="11" t="inlineStr">
        <is>
          <t>Status Evaluasi</t>
        </is>
      </c>
      <c r="P8" s="11" t="inlineStr">
        <is>
          <t>Skor Aktual (E5)</t>
        </is>
      </c>
    </row>
    <row r="9">
      <c r="A9" s="12" t="n">
        <v>1</v>
      </c>
      <c r="B9" s="13" t="inlineStr">
        <is>
          <t>Faktual</t>
        </is>
      </c>
      <c r="C9" s="13" t="inlineStr">
        <is>
          <t>google/gemma-4-26b-a4b-it:free</t>
        </is>
      </c>
      <c r="D9" s="14" t="inlineStr">
        <is>
          <t>Apa kepanjangan dari SPBE dalam tata kelola pemerintahan Indonesia?</t>
        </is>
      </c>
      <c r="E9" s="14" t="inlineStr">
        <is>
          <t>Sistem Pemerintahan Berbasis Elektronik.</t>
        </is>
      </c>
      <c r="F9" s="14" t="inlineStr">
        <is>
          <t>**Sistem Pemerintahan Berbasis Elektronik.**</t>
        </is>
      </c>
      <c r="G9" s="15" t="n">
        <v>100</v>
      </c>
      <c r="H9" s="15" t="n">
        <v>2.91</v>
      </c>
      <c r="I9" s="15" t="n">
        <v>4.79</v>
      </c>
      <c r="J9" s="15" t="n">
        <v>95.8</v>
      </c>
      <c r="K9" s="15" t="n">
        <v>95.8</v>
      </c>
      <c r="L9" s="16" t="n">
        <v>0.042</v>
      </c>
      <c r="M9" s="16" t="n">
        <v>0.042</v>
      </c>
      <c r="N9" s="15" t="n">
        <v>4.2</v>
      </c>
      <c r="O9" s="17" t="inlineStr">
        <is>
          <t>PASSED</t>
        </is>
      </c>
      <c r="P9" s="16" t="n">
        <v>0.958</v>
      </c>
    </row>
    <row r="10">
      <c r="A10" s="12" t="n">
        <v>2</v>
      </c>
      <c r="B10" s="13" t="inlineStr">
        <is>
          <t>Faktual</t>
        </is>
      </c>
      <c r="C10" s="13" t="inlineStr">
        <is>
          <t>google/gemma-4-26b-a4b-it:free</t>
        </is>
      </c>
      <c r="D10" s="14" t="inlineStr">
        <is>
          <t>Secara umum, apa yang dimaksud dengan transformasi digital pemerintah?</t>
        </is>
      </c>
      <c r="E10" s="14" t="inlineStr">
        <is>
          <t>Pemanfaatan data dan teknologi digital untuk meningkatkan kualitas layanan dan tata kelola pemerintahan.</t>
        </is>
      </c>
      <c r="F10" s="14" t="inlineStr">
        <is>
          <t>Transformasi digital pemerintah adalah perubahan fundamental dalam cara pemerintah bekerja dengan memanfaatkan teknologi digital untuk meningkatkan kualitas layanan publik, efisiensi proses bisnis, dan integrasi data antar instansi.
Secara substansi, hal ini mencakup tiga aspek utama:
1. **Digitalisasi Proses:** Mengubah proses manual/analog menjadi digital.
2. **Digitalisasi Layanan:** Menyediakan layanan publik yang dapat diakses secara daring (*online*).
3. **Digitalisasi Budaya Kerja:** Perubahan pola pikir (*mindset*) dan budaya kerja aparatur berbasis teknologi informasi.
Tujuan utamanya adalah mewujudkan tata kelola pemerintahan yang bersih, efektif, transparan, dan akuntabel melalui implementasi **SPBE (Sistem Pemerintahan Berbasis Elektronik)**.</t>
        </is>
      </c>
      <c r="G10" s="15" t="n">
        <v>100</v>
      </c>
      <c r="H10" s="15" t="n">
        <v>20.98</v>
      </c>
      <c r="I10" s="15" t="n">
        <v>4.31</v>
      </c>
      <c r="J10" s="15" t="n">
        <v>86.15000000000001</v>
      </c>
      <c r="K10" s="15" t="n">
        <v>86.15000000000001</v>
      </c>
      <c r="L10" s="16" t="n">
        <v>0.1385</v>
      </c>
      <c r="M10" s="16" t="n">
        <v>0.1385</v>
      </c>
      <c r="N10" s="15" t="n">
        <v>13.85</v>
      </c>
      <c r="O10" s="17" t="inlineStr">
        <is>
          <t>PASSED</t>
        </is>
      </c>
      <c r="P10" s="16" t="n">
        <v>0.8615</v>
      </c>
    </row>
    <row r="11">
      <c r="A11" s="12" t="n">
        <v>3</v>
      </c>
      <c r="B11" s="13" t="inlineStr">
        <is>
          <t>Faktual</t>
        </is>
      </c>
      <c r="C11" s="13" t="inlineStr">
        <is>
          <t>google/gemma-4-26b-a4b-it:free</t>
        </is>
      </c>
      <c r="D11" s="14" t="inlineStr">
        <is>
          <t>Apa tujuan utama dari kebijakan Satu Data Indonesia (SDI)?</t>
        </is>
      </c>
      <c r="E11" s="14" t="inlineStr">
        <is>
          <t>Mewujudkan data pemerintah yang akurat, mutakhir, terpadu, dan dapat diakses sebagai dasar perencanaan dan pengambilan keputusan.</t>
        </is>
      </c>
      <c r="F11" s="14" t="inlineStr">
        <is>
          <t>Tujuan utama kebijakan **Satu Data Indonesia (SDI)** berdasarkan Peraturan Presiden Nomor 39 Tahun 2019 adalah:
1.  **Mewujudkan data pemerintah yang akurat, mutakhir, terpadu, dan dapat dipertanggungjawabkan.**
2.  **Menjamin interoperabilitas data** antar instansi pemerintah melalui penggunaan metadata, interoperabilitas data, dan penggunaan kode referensi/data induk.
3.thought
4.  **Mendukung pengambilan kebijakan berbasis data** (*data-driven policy*) guna meningkatkan kualitas pelayanan publik dan perencanaan pembangunan nasional.</t>
        </is>
      </c>
      <c r="G11" s="15" t="n">
        <v>100</v>
      </c>
      <c r="H11" s="15" t="n">
        <v>11.77</v>
      </c>
      <c r="I11" s="15" t="n">
        <v>4.39</v>
      </c>
      <c r="J11" s="15" t="n">
        <v>87.87</v>
      </c>
      <c r="K11" s="15" t="n">
        <v>87.87</v>
      </c>
      <c r="L11" s="16" t="n">
        <v>0.1213</v>
      </c>
      <c r="M11" s="16" t="n">
        <v>0.1213</v>
      </c>
      <c r="N11" s="15" t="n">
        <v>12.13</v>
      </c>
      <c r="O11" s="17" t="inlineStr">
        <is>
          <t>PASSED</t>
        </is>
      </c>
      <c r="P11" s="16" t="n">
        <v>0.8787</v>
      </c>
    </row>
    <row r="12">
      <c r="A12" s="12" t="n">
        <v>4</v>
      </c>
      <c r="B12" s="13" t="inlineStr">
        <is>
          <t>Ekstraksi</t>
        </is>
      </c>
      <c r="C12" s="13" t="inlineStr">
        <is>
          <t>google/gemma-4-26b-a4b-it:free</t>
        </is>
      </c>
      <c r="D12" s="14" t="inlineStr">
        <is>
          <t>Sebutkan tiga manfaat utama penerapan Pemerintah Digital bagi masyarakat.</t>
        </is>
      </c>
      <c r="E12" s="14" t="inlineStr">
        <is>
          <t>Akses layanan lebih cepat, peningkatan transparansi, dan kemudahan memperoleh layanan publik.</t>
        </is>
      </c>
      <c r="F12" s="14" t="inlineStr">
        <is>
          <t>Tiga manfaat utama penerapan Pemerintah Digital bagi masyarakat adalah:
1. **Aksesibilitas Layanan:** Masyarakat dapat mengakses layanan publik kapan saja dan di mana saja secara daring (*online*).
2. **Efisiensi Waktu dan Biaya:** Memangkas birokrasi dan prosedur fisik, sehingga pelayanan menjadi lebih cepat dan murah.
3. **Transparansi dan Akuntabilitas:** Meminimalisir celah pungutan liar dan korupsi karena seluruh proses layanan dapat dipantau secara digital.</t>
        </is>
      </c>
      <c r="G12" s="15" t="n">
        <v>100</v>
      </c>
      <c r="H12" s="15" t="n">
        <v>20.28</v>
      </c>
      <c r="I12" s="15" t="n">
        <v>4.41</v>
      </c>
      <c r="J12" s="15" t="n">
        <v>88.23</v>
      </c>
      <c r="K12" s="15" t="n">
        <v>88.23</v>
      </c>
      <c r="L12" s="16" t="n">
        <v>0.1177</v>
      </c>
      <c r="M12" s="16" t="n">
        <v>0.1177</v>
      </c>
      <c r="N12" s="15" t="n">
        <v>11.77</v>
      </c>
      <c r="O12" s="17" t="inlineStr">
        <is>
          <t>PASSED</t>
        </is>
      </c>
      <c r="P12" s="16" t="n">
        <v>0.8823</v>
      </c>
    </row>
    <row r="13">
      <c r="A13" s="12" t="n">
        <v>5</v>
      </c>
      <c r="B13" s="13" t="inlineStr">
        <is>
          <t>Ekstraksi</t>
        </is>
      </c>
      <c r="C13" s="13" t="inlineStr">
        <is>
          <t>google/gemma-4-26b-a4b-it:free</t>
        </is>
      </c>
      <c r="D13" s="14" t="inlineStr">
        <is>
          <t>Sebutkan tiga karakteristik utama digital government.</t>
        </is>
      </c>
      <c r="E13" s="14" t="inlineStr">
        <is>
          <t>Keterpaduan layanan, pemanfaatan data, dan orientasi pada kebutuhan pengguna.</t>
        </is>
      </c>
      <c r="F13" s="14" t="inlineStr">
        <is>
          <t>Tiga karakteristik utama *digital government* adalah:
1.  **Digital-First/Digital-Centric:** Proses bisnis, layanan, dan kebijakan dirancang sejak awal berbasis teknologi digital, bukan sekadar mendigitalkan proses manual (analog ke digital).
2.- **Interoperabilitas:** Kemampuan sistem, aplikasi, dan data antar instansi pemerintah untuk saling terhubung, bertukar data, dan bekerja sama secara terintegrasi (menghindari silo data).
3.- **User-Centric (Berorientasi Pengguna):** Layanan dirancang berdasarkan kebutuhan, kemudahan, dan pengalaman pengguna (masyarakat/aparatur), bukan berdasarkan struktur organisasi pemerintah.</t>
        </is>
      </c>
      <c r="G13" s="15" t="n">
        <v>100</v>
      </c>
      <c r="H13" s="15" t="n">
        <v>19.84</v>
      </c>
      <c r="I13" s="15" t="n">
        <v>4.26</v>
      </c>
      <c r="J13" s="15" t="n">
        <v>85.19</v>
      </c>
      <c r="K13" s="15" t="n">
        <v>85.19</v>
      </c>
      <c r="L13" s="16" t="n">
        <v>0.1481</v>
      </c>
      <c r="M13" s="16" t="n">
        <v>0.1481</v>
      </c>
      <c r="N13" s="15" t="n">
        <v>14.81</v>
      </c>
      <c r="O13" s="17" t="inlineStr">
        <is>
          <t>PASSED</t>
        </is>
      </c>
      <c r="P13" s="16" t="n">
        <v>0.8519</v>
      </c>
    </row>
    <row r="14">
      <c r="A14" s="12" t="n">
        <v>6</v>
      </c>
      <c r="B14" s="13" t="inlineStr">
        <is>
          <t>Faktual</t>
        </is>
      </c>
      <c r="C14" s="13" t="inlineStr">
        <is>
          <t>google/gemma-4-26b-a4b-it:free</t>
        </is>
      </c>
      <c r="D14" s="14" t="inlineStr">
        <is>
          <t>Apa manfaat penerapan tata kelola data dalam pemerintahan digital?</t>
        </is>
      </c>
      <c r="E14" s="14" t="inlineStr">
        <is>
          <t>Memastikan data akurat, terintegrasi, aman, dan dapat dimanfaatkan untuk mendukung layanan serta pengambilan keputusan.</t>
        </is>
      </c>
      <c r="F14" s="14" t="inlineStr">
        <is>
          <t>Manfaat penerapan tata kelola data dalam pemerintahan digital adalah:
1.  **Integrasi Data (Interoperabilitas):** Menghilangkan silo data sehingga antar instansi dapat berbagi pakai data secara lancar.
2.  **Akurasi &amp; Kualitas Data:** Menjamin data yang digunakan untuk kebijakan adalah data yang valid, mutakhir, dan terstandar.
3.  **Pengambilan Keputusan Berbasis Data (*Data-Driven Policy*):** Memungkinkan pemerintah mengambil keputusan yang lebih cepat dan akurat berdasarkan analisis data yang reliabel.
4.  **Efisiensi Operasional:** Mengurangi duplikasi pengumpulan data dan menghemat biaya operasional melalui satu sumber kebenaran (*single source of truth*).
5.  **Keamanan &amp; Privasi:** Menjamin perlindungan data pribadi dan keamanan informasi negara sesuai regulasi yang berlaku.
6.  **Peningkatan Layanan Publik:** Mempercepat dan mempermudah layanan kepada masyarakat melalui pemanfaayaan data yang terintegrasi.</t>
        </is>
      </c>
      <c r="G14" s="15" t="n">
        <v>100</v>
      </c>
      <c r="H14" s="15" t="n">
        <v>17.67</v>
      </c>
      <c r="I14" s="15" t="n">
        <v>4.25</v>
      </c>
      <c r="J14" s="15" t="n">
        <v>85.01000000000001</v>
      </c>
      <c r="K14" s="15" t="n">
        <v>85.01000000000001</v>
      </c>
      <c r="L14" s="16" t="n">
        <v>0.1499</v>
      </c>
      <c r="M14" s="16" t="n">
        <v>0.1499</v>
      </c>
      <c r="N14" s="15" t="n">
        <v>14.99</v>
      </c>
      <c r="O14" s="17" t="inlineStr">
        <is>
          <t>PASSED</t>
        </is>
      </c>
      <c r="P14" s="16" t="n">
        <v>0.8501</v>
      </c>
    </row>
    <row r="15">
      <c r="A15" s="12" t="n">
        <v>7</v>
      </c>
      <c r="B15" s="13" t="inlineStr">
        <is>
          <t>Ekstraksi</t>
        </is>
      </c>
      <c r="C15" s="13" t="inlineStr">
        <is>
          <t>google/gemma-4-26b-a4b-it:free</t>
        </is>
      </c>
      <c r="D15" s="14" t="inlineStr">
        <is>
          <t>Sebutkan tiga tujuan utama keamanan siber dalam layanan pemerintah digital.</t>
        </is>
      </c>
      <c r="E15" s="14" t="inlineStr">
        <is>
          <t>Melindungi kerahasiaan data, menjaga integritas informasi, dan memastikan ketersediaan layanan.</t>
        </is>
      </c>
      <c r="F15" s="14" t="inlineStr">
        <is>
          <t>Tiga tujuan utama keamanan siber dalam layanan pemerintah digital adalah:
1.  **Kerahasiaan (*Confidentiality*):** Menjamin data pemerintah dan masyarakat hanya dapat diakses oleh pihak yang berwenang.
2.  **Keutuhan (*Integrity*):** Menjamin data dan informasi tetap akurat, konsisten, dan tidak diubah oleh pihak yang tidak berwenang.
3.  **Ketersediaan (*Availability*):** Menjamin layanan digital dan data dapat diakses kapan pun dibutuhkan oleh pengguna/masyarakat.</t>
        </is>
      </c>
      <c r="G15" s="15" t="n">
        <v>100</v>
      </c>
      <c r="H15" s="15" t="n">
        <v>12.96</v>
      </c>
      <c r="I15" s="15" t="n">
        <v>4.47</v>
      </c>
      <c r="J15" s="15" t="n">
        <v>89.40000000000001</v>
      </c>
      <c r="K15" s="15" t="n">
        <v>89.40000000000001</v>
      </c>
      <c r="L15" s="16" t="n">
        <v>0.106</v>
      </c>
      <c r="M15" s="16" t="n">
        <v>0.106</v>
      </c>
      <c r="N15" s="15" t="n">
        <v>10.6</v>
      </c>
      <c r="O15" s="17" t="inlineStr">
        <is>
          <t>PASSED</t>
        </is>
      </c>
      <c r="P15" s="16" t="n">
        <v>0.894</v>
      </c>
    </row>
    <row r="16">
      <c r="A16" s="12" t="n">
        <v>8</v>
      </c>
      <c r="B16" s="13" t="inlineStr">
        <is>
          <t>Faktual</t>
        </is>
      </c>
      <c r="C16" s="13" t="inlineStr">
        <is>
          <t>google/gemma-4-26b-a4b-it:free</t>
        </is>
      </c>
      <c r="D16" s="14" t="inlineStr">
        <is>
          <t>Apa fungsi sebuah portal layanan publik nasional bagi masyarakat?</t>
        </is>
      </c>
      <c r="E16" s="14" t="inlineStr">
        <is>
          <t>Mengonsolidasikan berbagai layanan pemerintah dalam satu titik akses agar mudah, cepat, dan terpadu.</t>
        </is>
      </c>
      <c r="F16" s="14" t="inlineStr">
        <is>
          <t>Fungsi utama portal layanan publik nasional bagi masyarakat adalah:
1.  **Single Entry Point:** Menjadi satu-satunya pintu akses terpadu untuk seluruh layanan pemerintah, sehingga masyarakat tidak perlu mengunjungi banyak situs web/aplikasi berbeda.
2.  **Integrasi Layanan:** Menyatukan berbagai jenis layanan (administratif, perizinan, sosial, dll) dalam satu platform yang terintegrasi.
3.ert **Kemudahan Akses (User Experience):** Menyediakan antarmuka yang seragam, mudah digunakan, dan dapat diakses kapan saja melalui berbagai perangkat.
4.  **Transparansi &amp; Kecepatan:** Memungkinkan masyarakat memantau status pengajuan layanan secara *real-time* dan mengurangi birokrasi yang berbelit.
5.  **Efisiensi Waktu &amp; Biaya:** Memangkas kebutuhan untuk hadir secara fisik dan mengurangi penggunaan dokumen fisik melalui integrasi data digital (interoperabilitas).</t>
        </is>
      </c>
      <c r="G16" s="15" t="n">
        <v>100</v>
      </c>
      <c r="H16" s="15" t="n">
        <v>22.17</v>
      </c>
      <c r="I16" s="15" t="n">
        <v>4.33</v>
      </c>
      <c r="J16" s="15" t="n">
        <v>86.51000000000001</v>
      </c>
      <c r="K16" s="15" t="n">
        <v>86.51000000000001</v>
      </c>
      <c r="L16" s="16" t="n">
        <v>0.1349</v>
      </c>
      <c r="M16" s="16" t="n">
        <v>0.1349</v>
      </c>
      <c r="N16" s="15" t="n">
        <v>13.49</v>
      </c>
      <c r="O16" s="17" t="inlineStr">
        <is>
          <t>PASSED</t>
        </is>
      </c>
      <c r="P16" s="16" t="n">
        <v>0.8651</v>
      </c>
    </row>
    <row r="17">
      <c r="A17" s="12" t="n">
        <v>9</v>
      </c>
      <c r="B17" s="13" t="inlineStr">
        <is>
          <t>Faktual</t>
        </is>
      </c>
      <c r="C17" s="13" t="inlineStr">
        <is>
          <t>google/gemma-4-26b-a4b-it:free</t>
        </is>
      </c>
      <c r="D17" s="14" t="inlineStr">
        <is>
          <t>Jelaskan secara umum apa itu RAG (Retrieval-Augmented Generation) pada sistem AI. (Mengapa integrasi layanan digital penting bagi masyarakat?)</t>
        </is>
      </c>
      <c r="E17" s="14" t="inlineStr">
        <is>
          <t>Mempermudah akses layanan, mengurangi duplikasi proses, dan meningkatkan efisiensi pelayanan.</t>
        </is>
      </c>
      <c r="F17" s="14" t="inlineStr">
        <is>
          <t>**RAG (Retrieval-Augmented Generation)** adalah arsitektur AI yang menggabungkan kemampuan model bahasa besar (*Large Language Model*) dengan pengambilan data dari sumber eksternal yang tepercaya (seperti basis data regulasi atau dokumen pemerintah).
**Cara Kerja Singkat:**
1. **Retrieval:** Saat ada pertanyaan, sistem mencari informasi relevan dalam dokumen/database yang disediakan.
2. **Augmentation:** Informasi tersebut ditambahkan ke dalam instruksi (*prompt*).
3. **Generation:** AI menghasilkan jawaban berdasarkan data spesifik tersebut, bukan hanya dari memori pelatihannya.
**Manfaat Utama:**
* **Akurasi Tinggi:** Mengurangi risiko halusinasi (informasi palsu).
* **Berbasis Data Terkini:** AI dapat menjawab berdasarkan aturan/regulasi terbaru tanpa perlu melatih ulang model secara penuh.
* **Kredibilitas:** Jawaban dapat disertai sumber referensi (misalnya: "Berdasarkan Perpres No. 95 Tahun 2018...").
***
**Catatan:** Pertanyaan Anda mengenai *"Mengapa integrasi layanan digital penting bagi masyarakat?"* tampaknya tidak relevai dengan definisi RAG. Namun, dalam konteks SPBE, integrasi penting untuk **menghilangkan silo data**, menjamin **interoperabilitas**, dan memberikan **layanan satu pintu** yang memudahkan masyarakat tanpa harus berpindah-pindah aplikasi.</t>
        </is>
      </c>
      <c r="G17" s="15" t="n">
        <v>83.14</v>
      </c>
      <c r="H17" s="15" t="n">
        <v>55.14</v>
      </c>
      <c r="I17" s="15" t="n">
        <v>4.16</v>
      </c>
      <c r="J17" s="15" t="n">
        <v>83.14</v>
      </c>
      <c r="K17" s="15" t="n">
        <v>83.14</v>
      </c>
      <c r="L17" s="16" t="n">
        <v>0.1686</v>
      </c>
      <c r="M17" s="16" t="n">
        <v>0.1686</v>
      </c>
      <c r="N17" s="15" t="n">
        <v>16.86</v>
      </c>
      <c r="O17" s="18" t="inlineStr">
        <is>
          <t>FAILED</t>
        </is>
      </c>
      <c r="P17" s="16" t="n">
        <v>0.8314</v>
      </c>
    </row>
    <row r="18">
      <c r="A18" s="12" t="n">
        <v>10</v>
      </c>
      <c r="B18" s="13" t="inlineStr">
        <is>
          <t>Faktual</t>
        </is>
      </c>
      <c r="C18" s="13" t="inlineStr">
        <is>
          <t>google/gemma-4-26b-a4b-it:free</t>
        </is>
      </c>
      <c r="D18" s="14" t="inlineStr">
        <is>
          <t>Apa yang dimaksud dengan pelindungan data pribadi (PDP)?</t>
        </is>
      </c>
      <c r="E18" s="14" t="inlineStr">
        <is>
          <t>Upaya tata kelola dan teknis untuk melindungi data pribadi sepanjang siklus pemrosesannya sesuai regulasi.</t>
        </is>
      </c>
      <c r="F18" s="14" t="inlineStr">
        <is>
          <t>**Pelindungan Data Pribadi (PDP)** adalah segala upaya untuk melindungi data pribadi dari penggunaan yang tidak sah, akses ilegal, atau penyalahgunaan untuk menjamin hak privasi individu.
Berdasarkan **UU No. 27 Tahun 2022 tentang Pelindungan Data Pribadi**, aspek utamanya meliputi:
1.  **Subjek Data:** Individu pemilik data.
2.  **Pengendali Data:** Pihak yang menentukan tujuan dan kendali pemrosesan data.
3.  **Prosesor Data:** Pihak yang melakukan pemrosesan data atas nama Pengendali.
4.an **Prinsip Pelindungan:** Meliputi pemrosesan yang terbatas, spesifik, sah secara hukum, transparan, dan akurat.
5.  **Hak Subjek Data:** Hak untuk mengakses, memperbaiki, menghapus, dan menarik persetujuan data pribadi.</t>
        </is>
      </c>
      <c r="G18" s="15" t="n">
        <v>100</v>
      </c>
      <c r="H18" s="15" t="n">
        <v>28.05</v>
      </c>
      <c r="I18" s="15" t="n">
        <v>4.3</v>
      </c>
      <c r="J18" s="15" t="n">
        <v>86.09</v>
      </c>
      <c r="K18" s="15" t="n">
        <v>86.09</v>
      </c>
      <c r="L18" s="16" t="n">
        <v>0.1391</v>
      </c>
      <c r="M18" s="16" t="n">
        <v>0.1391</v>
      </c>
      <c r="N18" s="15" t="n">
        <v>13.91</v>
      </c>
      <c r="O18" s="17" t="inlineStr">
        <is>
          <t>PASSED</t>
        </is>
      </c>
      <c r="P18" s="16" t="n">
        <v>0.8609</v>
      </c>
    </row>
    <row r="19">
      <c r="A19" s="12" t="n">
        <v>11</v>
      </c>
      <c r="B19" s="13" t="inlineStr">
        <is>
          <t>Evaluatif</t>
        </is>
      </c>
      <c r="C19" s="13" t="inlineStr">
        <is>
          <t>google/gemma-4-26b-a4b-it:free</t>
        </is>
      </c>
      <c r="D19" s="14" t="inlineStr">
        <is>
          <t>Mengapa kepuasan pengguna menjadi tolok ukur penting dalam layanan digital?</t>
        </is>
      </c>
      <c r="E19" s="14" t="inlineStr">
        <is>
          <t>Karena keberhasilan layanan akhirnya diukur dari manfaat dan pengalaman nyata pengguna, bukan sekadar ketersediaan teknologi.</t>
        </is>
      </c>
      <c r="F19" s="14" t="inlineStr">
        <is>
          <t>Kepuasan pengguna merupakan tolok ukur penting dalam layanan digital karena:
1.  **Indikator Keberhasilan Layanan:** Menunjukkan apakah sistem yang dibangun telah menjawab kebutuhan nyata pengguna (*user needs*).
2.- **Efektivitas dan Efisiensi:** Kepuasan yang tinggi menandakan aplikasi mudah digunakan (*usability*), sehingga mengurangi beban bantuan teknis (*helpdesk*) dan meningkatkan efisiensi birokrasi.
3.- **Kepercayaan Publik (*Public Trust*):** Layanan digital yang memuaskan akan meningkatkan kepercayaan masyarakat terhadap pemerintah (Digital Government).
4.- **Dasar Evaluasi dan Perbaikan:** Menjadi data objektif untuk melakukan pengembangan berkelanjutan (*continuous improvement*) sesuai prinsip tata kelola SPBE yang berorientasi pada layanan.</t>
        </is>
      </c>
      <c r="G19" s="15" t="n">
        <v>100</v>
      </c>
      <c r="H19" s="15" t="n">
        <v>33.62</v>
      </c>
      <c r="I19" s="15" t="n">
        <v>4.32</v>
      </c>
      <c r="J19" s="15" t="n">
        <v>86.41</v>
      </c>
      <c r="K19" s="15" t="n">
        <v>86.41</v>
      </c>
      <c r="L19" s="16" t="n">
        <v>0.1359</v>
      </c>
      <c r="M19" s="16" t="n">
        <v>0.1359</v>
      </c>
      <c r="N19" s="15" t="n">
        <v>13.59</v>
      </c>
      <c r="O19" s="17" t="inlineStr">
        <is>
          <t>PASSED</t>
        </is>
      </c>
      <c r="P19" s="16" t="n">
        <v>0.8641</v>
      </c>
    </row>
    <row r="20">
      <c r="A20" s="12" t="n">
        <v>12</v>
      </c>
      <c r="B20" s="13" t="inlineStr">
        <is>
          <t>Faktual</t>
        </is>
      </c>
      <c r="C20" s="13" t="inlineStr">
        <is>
          <t>google/gemma-4-26b-a4b-it:free</t>
        </is>
      </c>
      <c r="D20" s="14" t="inlineStr">
        <is>
          <t>Apa peran komputasi awan (cloud) dalam infrastruktur pemerintah modern?</t>
        </is>
      </c>
      <c r="E20" s="14" t="inlineStr">
        <is>
          <t>Menyediakan sumber daya komputasi yang elastis, efisien, dan terkonsolidasi untuk layanan digital.</t>
        </is>
      </c>
      <c r="F20" s="14" t="inlineStr">
        <is>
          <t>Dalam infrastruktur pemerintah modern, peran komputasi awan (*cloud computing*) adalah sebagai berikut:
1.  **Sentralisasi Infrastruktur:** Menggantikan model server fisik yang terfragmentasi di tiap instansi menjadi infrastruktur terpusat melalui **Pusat Data Nasional (PDN)**.
2.  **Efisiensi Anggaran:** Mengubah belanja modal (*CAPEX*) menjadi belanja operasional (*OPEX*), sehingga pemerintah tidak perlu membeli perangkat keras secara mandiri di setiap instansi.
3.thought: 
4.  **Skalabilitas &amp; Agilitas:** Memungkinkan penyediaan sumber daya komputasi secara cepat sesuai kebutuhan layanan digital tanpa harus membangun fisik pusat data baru.
4.  **Integrasi Data:** Memfasilitasi interoperabilitas antar aplikasi pemerintah melalui penyediaan layanan berbagi pakai (*shared services*).
5.  **Keamanan &amp; Pemulihan:** Meningkatkan standar keamanan siber melalui manajemen terpusat dan mempermudah strategi *Disaster Recovery Plan* (DRP).
**Dasar Regulasi:** Perpres No. 95 Tahun 2018 tentang SPBE dan Perpres No. 132 Tahun 2022 tentang Arsitektur SPBE Nasional.</t>
        </is>
      </c>
      <c r="G20" s="15" t="n">
        <v>100</v>
      </c>
      <c r="H20" s="15" t="n">
        <v>26.52</v>
      </c>
      <c r="I20" s="15" t="n">
        <v>4.31</v>
      </c>
      <c r="J20" s="15" t="n">
        <v>86.16</v>
      </c>
      <c r="K20" s="15" t="n">
        <v>86.16</v>
      </c>
      <c r="L20" s="16" t="n">
        <v>0.1384</v>
      </c>
      <c r="M20" s="16" t="n">
        <v>0.1384</v>
      </c>
      <c r="N20" s="15" t="n">
        <v>13.84</v>
      </c>
      <c r="O20" s="17" t="inlineStr">
        <is>
          <t>PASSED</t>
        </is>
      </c>
      <c r="P20" s="16" t="n">
        <v>0.8616</v>
      </c>
    </row>
    <row r="21">
      <c r="A21" s="12" t="n">
        <v>13</v>
      </c>
      <c r="B21" s="13" t="inlineStr">
        <is>
          <t>Ekstraksi</t>
        </is>
      </c>
      <c r="C21" s="13" t="inlineStr">
        <is>
          <t>google/gemma-4-26b-a4b-it:free</t>
        </is>
      </c>
      <c r="D21" s="14" t="inlineStr">
        <is>
          <t>Apa tujuan dilakukannya evaluasi kinerja pemerintah digital?</t>
        </is>
      </c>
      <c r="E21" s="14" t="inlineStr">
        <is>
          <t>Mengukur tingkat kematangan dan efektivitas penerapan pemerintah digital untuk perbaikan berkelanjutan</t>
        </is>
      </c>
      <c r="F21" s="14" t="inlineStr">
        <is>
          <t>Tujuan utama evaluasi kinerja pemerintah digital (SPBE) adalah:
1.  **Mengukur Tingkat Kematangan:** Mengetahui sejauh mana penerapan SPBE di instansi pemerintah (Pusat/Daerah).
2.- **Menjamin Efektivitas &amp; Efisiensi:** Memastikan penggunaan teknologi informasi mampu mengoptimalkan pelayanan publik dan efisiensi tata kelola.
3.- **Identifikasi Kesenjangan:** Menemukan hambatan dan kekurangan dalam implementasi sistem untuk perbaikan berkelanjutan.
4.- **Dasar Pengambilan Kebijakan:** Menyediakan data objektif bagi pimpinan untuk menentukan langkah strategis dan perbaikan infrastruktur/regulasi digital.
5.- **Mendorong Integrasi:** Memastikan tidak adanya silo sistem (aplikasi yang terfragmentasi) agar tercipta interoperabilitas data antar instansi.</t>
        </is>
      </c>
      <c r="G21" s="15" t="n">
        <v>100</v>
      </c>
      <c r="H21" s="15" t="n">
        <v>25.18</v>
      </c>
      <c r="I21" s="15" t="n">
        <v>4.51</v>
      </c>
      <c r="J21" s="15" t="n">
        <v>90.20999999999999</v>
      </c>
      <c r="K21" s="15" t="n">
        <v>90.20999999999999</v>
      </c>
      <c r="L21" s="16" t="n">
        <v>0.0979</v>
      </c>
      <c r="M21" s="16" t="n">
        <v>0.0979</v>
      </c>
      <c r="N21" s="15" t="n">
        <v>9.789999999999999</v>
      </c>
      <c r="O21" s="17" t="inlineStr">
        <is>
          <t>PASSED</t>
        </is>
      </c>
      <c r="P21" s="16" t="n">
        <v>0.9021</v>
      </c>
    </row>
    <row r="22">
      <c r="A22" s="12" t="n">
        <v>14</v>
      </c>
      <c r="B22" s="13" t="inlineStr">
        <is>
          <t>Analisis</t>
        </is>
      </c>
      <c r="C22" s="13" t="inlineStr">
        <is>
          <t>google/gemma-4-26b-a4b-it:free</t>
        </is>
      </c>
      <c r="D22" s="14" t="inlineStr">
        <is>
          <t>Bagaimana hubungan antara CSIRT dan penanganan insiden siber dalam menjaga keamanan layanan digital pemerintah?</t>
        </is>
      </c>
      <c r="E22" s="14" t="inlineStr">
        <is>
          <t>CSIRT bertanggung jawab menangani insiden siber, sedangkan penanganan insiden merupakan proses yang dilaksanakan untuk menjaga keamanan layanan digital.</t>
        </is>
      </c>
      <c r="F22" s="14" t="inlineStr">
        <is>
          <t>Hubungan antara CSIRT (*Computer Security Incident Response Team*) dan penanganan insiden siber adalah hubungan **operasional dan strategis** dalam kerangka keamanan informasi pemerintah.
Berikut adalah poin-poin intinya:
1.  **Fungsi Utama:** CSIRT bertindak sebagai unit respons cepat yang bertanggung jawab mendeteksi, menganalisis, dan memitigasi insiden siber.
2.t**Alur Penanganan:** Saat terjadi gangguan pada layanan digital pemerintah, CSIRT menjalankan prosedur penanganan insiden (identifikasi, isolasi, pemulihan) untuk meminimasi dampak dan durasi gangguan.
3.  **Mitigasi Risiko:** CSIRT berfungsi sebagai lini pertahanan pertama yang mencegah insiden kecil berkembang menjadi krisis keamanan data nasional.
4.  **Penyediaan Intelijen:** Hasil analisis insiden oleh CSIRT digunakan sebagai basis kebijakan keamanan siber (preventif) agar celah serupa tidak terulang.
**Kesimpulan:** CSIRT adalah **eksekutor teknis** yang memastikan keberlangsungan layanan digital pemerintah melalui penanganan insiden yang terstruktur dan cepat.</t>
        </is>
      </c>
      <c r="G22" s="15" t="n">
        <v>100</v>
      </c>
      <c r="H22" s="15" t="n">
        <v>166.88</v>
      </c>
      <c r="I22" s="15" t="n">
        <v>4.43</v>
      </c>
      <c r="J22" s="15" t="n">
        <v>88.51000000000001</v>
      </c>
      <c r="K22" s="15" t="n">
        <v>88.51000000000001</v>
      </c>
      <c r="L22" s="16" t="n">
        <v>0.1149</v>
      </c>
      <c r="M22" s="16" t="n">
        <v>0.1149</v>
      </c>
      <c r="N22" s="15" t="n">
        <v>11.49</v>
      </c>
      <c r="O22" s="17" t="inlineStr">
        <is>
          <t>PASSED</t>
        </is>
      </c>
      <c r="P22" s="16" t="n">
        <v>0.8851</v>
      </c>
    </row>
    <row r="23">
      <c r="A23" s="12" t="n">
        <v>15</v>
      </c>
      <c r="B23" s="13" t="inlineStr">
        <is>
          <t>Faktual</t>
        </is>
      </c>
      <c r="C23" s="13" t="inlineStr">
        <is>
          <t>google/gemma-4-26b-a4b-it:free</t>
        </is>
      </c>
      <c r="D23" s="14" t="inlineStr">
        <is>
          <t>Apa manfaat kriptografi untuk pengamanan data pemerintah?</t>
        </is>
      </c>
      <c r="E23" s="14" t="inlineStr">
        <is>
          <t>Menjaga kerahasiaan dan integritas data saat disimpan, digunakan, maupun dipertukarkan.</t>
        </is>
      </c>
      <c r="F23" s="14" t="inlineStr">
        <is>
          <t>Manfaat kriptografi untuk pengamanan data pemerintah adalah:
1.  **Kerahasiaan (*Confidentiality*):** Memastikan data hanya dapat dibaca oleh pihak yang berwenang, mencegah kebocoran informasi sensitif negara.
2.  ***Integritas (*Integrity*):** Menjamin data tidak diubah atau dimanipulasi oleh pihak yang tidak berwenang selama proses transmisi maupun penyimpanan.
3.  **Autentikasi (*Authentication*):** Memverifikasi identitas pengirim dan penerima data untuk memastikan keaslian sumber informasi.
4.  **Nirpenyangkalan (*Non-repudiation*):** Mencek sengketa dengan memastikan pengirim tidak dapat menyangkal telah mengirimkan data tertentu.
**Dasar Regulasi:** Mendukung implementasi **Peraturan Presiden No. 95 Tahun 2018 tentang SPBE** terkait aspek Keamanan Informasi.</t>
        </is>
      </c>
      <c r="G23" s="15" t="n">
        <v>100</v>
      </c>
      <c r="H23" s="15" t="n">
        <v>20.06</v>
      </c>
      <c r="I23" s="15" t="n">
        <v>4.29</v>
      </c>
      <c r="J23" s="15" t="n">
        <v>85.75</v>
      </c>
      <c r="K23" s="15" t="n">
        <v>85.75</v>
      </c>
      <c r="L23" s="16" t="n">
        <v>0.1425</v>
      </c>
      <c r="M23" s="16" t="n">
        <v>0.1425</v>
      </c>
      <c r="N23" s="15" t="n">
        <v>14.25</v>
      </c>
      <c r="O23" s="17" t="inlineStr">
        <is>
          <t>PASSED</t>
        </is>
      </c>
      <c r="P23" s="16" t="n">
        <v>0.8575</v>
      </c>
    </row>
    <row r="24">
      <c r="A24" s="12" t="n">
        <v>16</v>
      </c>
      <c r="B24" s="13" t="inlineStr">
        <is>
          <t>Faktual</t>
        </is>
      </c>
      <c r="C24" s="13" t="inlineStr">
        <is>
          <t>google/gemma-4-26b-a4b-it:free</t>
        </is>
      </c>
      <c r="D24" s="14" t="inlineStr">
        <is>
          <t>Jelaskan secara umum konsep arsitektur enterprise pada pemerintahan.</t>
        </is>
      </c>
      <c r="E24" s="14" t="inlineStr">
        <is>
          <t>Kerangka yang menyelaraskan proses bisnis, data, aplikasi, dan teknologi agar terpadu mendukung tujuan organisasi.</t>
        </is>
      </c>
      <c r="F24" s="14" t="inlineStr">
        <is>
          <t>Konsep **Arsitektur Enterprise (AE) Pemerintahan** adalah kerangka kerja terintegrasi yang menghubungkan strategi bisnis pemerintah dengan teknologi informasi untuk mencapai tujuan organisasi secara efisien.
Berdasarkan Peraturan Presiden No. 95 Tahun 2018 tentang SPBE, AE terdiri dari 6 domain utama:
1.  **Arsitektur Proses Bisnis:** Alur kerja dan prosedur kerja antar instansi untuk memberikan layanan publik.
2.- **Arsitektur Data dan Informasi:** Struktur data, format, serta aliran informasi yang dibutuhkan untuk pengambilan keputusan.
3. **Arsitektur Layanan:** Katalog layanan digital yang disediakan pemerintah kepada masyarakat maupun antar instansi.
4. **Arsitektur Aplikasi:** Integrasi berbagai sistem aplikasi agar tidak terjadi duplikasi (silo) antar instansi.
5. **Arsitektur Infrastruktur Teknologi Informasi:** Perangkat keras, jaringan, dan pusat data (Data Center) sebagai fondasi teknis.
6. **Arsitektur Keamanan Informasi:** Protokol dan mekanisme perlindungan aset digital dan data negara.
**Tujuan Utama:** Menghindari fragmentasi sistem (saling tidak terhubung), mengoptimalkan penggunaan anggaran TI, dan memastikan interoperabilitas (kemampuan berbagi data) antar instansi pemerintah.</t>
        </is>
      </c>
      <c r="G24" s="15" t="n">
        <v>100</v>
      </c>
      <c r="H24" s="15" t="n">
        <v>49.44</v>
      </c>
      <c r="I24" s="15" t="n">
        <v>4.28</v>
      </c>
      <c r="J24" s="15" t="n">
        <v>85.53</v>
      </c>
      <c r="K24" s="15" t="n">
        <v>85.53</v>
      </c>
      <c r="L24" s="16" t="n">
        <v>0.1447</v>
      </c>
      <c r="M24" s="16" t="n">
        <v>0.1447</v>
      </c>
      <c r="N24" s="15" t="n">
        <v>14.47</v>
      </c>
      <c r="O24" s="17" t="inlineStr">
        <is>
          <t>PASSED</t>
        </is>
      </c>
      <c r="P24" s="16" t="n">
        <v>0.8552999999999999</v>
      </c>
    </row>
    <row r="25">
      <c r="A25" s="12" t="n">
        <v>17</v>
      </c>
      <c r="B25" s="13" t="inlineStr">
        <is>
          <t>Faktual</t>
        </is>
      </c>
      <c r="C25" s="13" t="inlineStr">
        <is>
          <t>google/gemma-4-26b-a4b-it:free</t>
        </is>
      </c>
      <c r="D25" s="14" t="inlineStr">
        <is>
          <t>Apa yang dimaksud dengan informasi geospasial?</t>
        </is>
      </c>
      <c r="E25" s="14" t="inlineStr">
        <is>
          <t>Informasi mengenai lokasi, posisi, dan karakteristik objek di permukaan bumi yang bereferensi spasial.</t>
        </is>
      </c>
      <c r="F25" s="14" t="inlineStr">
        <is>
          <t>**Informasi Geospasial (IG)** adalah data, informasi, dan metadata yang memiliki referensi posisi geografis (koordinat) di permukaan bumi.
Dalam konteks SPBE dan tata kelola data nasional, IG mencakup:
1.  **Data Geospasial:** Representasi objek (titik, garis, atau area) di permukaan bumi.
- **Referensi Geospasial:** Sistem koordinat yang digunakan.
- **Karakteristik Geometris:** Lokasi, bentuk, dan ukuran objek.
Sesuai **UU No. 4 Tahun 2011 tentang Informasi Geospasial**, IG merupakan aset strategis untuk perencanaan pembangunan, pengambilan kebijakan, dan integrasi data antar instansi pemerintah (Kebijakan Satu Peta).</t>
        </is>
      </c>
      <c r="G25" s="15" t="n">
        <v>100</v>
      </c>
      <c r="H25" s="15" t="n">
        <v>135.39</v>
      </c>
      <c r="I25" s="15" t="n">
        <v>4.37</v>
      </c>
      <c r="J25" s="15" t="n">
        <v>87.44</v>
      </c>
      <c r="K25" s="15" t="n">
        <v>87.44</v>
      </c>
      <c r="L25" s="16" t="n">
        <v>0.1256</v>
      </c>
      <c r="M25" s="16" t="n">
        <v>0.1256</v>
      </c>
      <c r="N25" s="15" t="n">
        <v>12.56</v>
      </c>
      <c r="O25" s="17" t="inlineStr">
        <is>
          <t>PASSED</t>
        </is>
      </c>
      <c r="P25" s="16" t="n">
        <v>0.8744</v>
      </c>
    </row>
    <row r="26">
      <c r="A26" s="12" t="n">
        <v>18</v>
      </c>
      <c r="B26" s="13" t="inlineStr">
        <is>
          <t>Analisis</t>
        </is>
      </c>
      <c r="C26" s="13" t="inlineStr">
        <is>
          <t>google/gemma-4-26b-a4b-it:free</t>
        </is>
      </c>
      <c r="D26" s="14" t="inlineStr">
        <is>
          <t>Mengapa kolaborasi lintas instansi penting dalam pemerintahan digital?</t>
        </is>
      </c>
      <c r="E26" s="14" t="inlineStr">
        <is>
          <t>Untuk menghindari fragmentasi sistem, berbagi data, dan menghasilkan layanan terpadu bagi masyarakat.</t>
        </is>
      </c>
      <c r="F26" s="14" t="inlineStr">
        <is>
          <t>Kolaborasi lintas instansi dalam SPBE penting karena:
1.  **Menghindari Silo Data &amp; Aplikasi:** Menceksistensi duplikasi aplikasi dan fragmentasi data antar instansi yang menyebabkan pemborosan anggaran.
2.  **Interoperabilitas:** Memastikan sistem elektronik antar instansi dapat saling terhubung dan bertukar data secara lancar (sesu sesuai prinsip *Satu Data Indonesia*).
3.  *Efficiency of Resources:* Mengoptimalkan sumber daya (anggaran, infrastruktur, dan SDM) melalui penggunaan infrastruktur berbagi pakai (seperti Pusat Data Nasional).
4.  **Integrasi Layanan Publik:** Menciptasakan layanan pemerintah yang terpadu (*seamless*) bagi masyarakat, sehingga pengguna tidak perlu berurusan dengan banyak platform berbeda.
5.  **Kepatuhan Regulasi:** Memenuhi amanat **Perpres No. 92 Tahun 2-022** tentang Arsitektur SPBE Nasional yang mewajibkan integrasi tata kelola secara nasional.</t>
        </is>
      </c>
      <c r="G26" s="15" t="n">
        <v>100</v>
      </c>
      <c r="H26" s="15" t="n">
        <v>22.42</v>
      </c>
      <c r="I26" s="15" t="n">
        <v>4.27</v>
      </c>
      <c r="J26" s="15" t="n">
        <v>85.42</v>
      </c>
      <c r="K26" s="15" t="n">
        <v>85.42</v>
      </c>
      <c r="L26" s="16" t="n">
        <v>0.1458</v>
      </c>
      <c r="M26" s="16" t="n">
        <v>0.1458</v>
      </c>
      <c r="N26" s="15" t="n">
        <v>14.58</v>
      </c>
      <c r="O26" s="17" t="inlineStr">
        <is>
          <t>PASSED</t>
        </is>
      </c>
      <c r="P26" s="16" t="n">
        <v>0.8542</v>
      </c>
    </row>
    <row r="27">
      <c r="A27" s="12" t="n">
        <v>19</v>
      </c>
      <c r="B27" s="13" t="inlineStr">
        <is>
          <t>Evaluatif</t>
        </is>
      </c>
      <c r="C27" s="13" t="inlineStr">
        <is>
          <t>google/gemma-4-26b-a4b-it:free</t>
        </is>
      </c>
      <c r="D27" s="14" t="inlineStr">
        <is>
          <t>Apa indikator umum keberhasilan sebuah reformasi birokrasi?</t>
        </is>
      </c>
      <c r="E27" s="14" t="inlineStr">
        <is>
          <t>Peningkatan kualitas pelayanan publik, akuntabilitas kinerja, efisiensi, dan kepercayaan masyarakat.</t>
        </is>
      </c>
      <c r="F27" s="14" t="inlineStr">
        <is>
          <t>Indikator umum keberhasilan reformasi birokrasi (berdasarkan standar evaluasi nasional) adalah:
1.  **Penyederhanaan Struktur Organisasi:** Organisasi menjadi lebih ramping, tidak hierarkis berlebihan, dan memiliki fungsi yang jelas (tidak tumpang tindih).
2.- **Peningkatan Kualitas Pelayanan Publik:** Layanan menjadi lebih cepat, mudah, murah, transparan, dan berbasis teknologi (digitalisasi).
3.**Peningkatan Akuntabilitas dan Integritas:** Menurunnya angka korupsi, meningkatnya nilai Indeks Persepsi Korupsi, dan tercapainya target kinerja yang terukur.
4. **Kualitas SDM Aparatur:** Peningkatan kompetensi, profesionalisme, dan penerapan sistem merit dalam manajemen ASN.
5. **Efisiensi Anggaran dan Proses Bisnis:** Pengurangan biaya birokrasi dan pemangkasan prosedur yang tidak perlu (debirokratisasi).
6. **Digitalisasi Tata Kelola:** Terintegrasinya sistem aplikasi (tidak lagi silo) menuju tata kelola pemerintahan berbasis elektronik yang terpadu.</t>
        </is>
      </c>
      <c r="G27" s="15" t="n">
        <v>100</v>
      </c>
      <c r="H27" s="15" t="n">
        <v>24.66</v>
      </c>
      <c r="I27" s="15" t="n">
        <v>4.29</v>
      </c>
      <c r="J27" s="15" t="n">
        <v>85.87</v>
      </c>
      <c r="K27" s="15" t="n">
        <v>85.87</v>
      </c>
      <c r="L27" s="16" t="n">
        <v>0.1413</v>
      </c>
      <c r="M27" s="16" t="n">
        <v>0.1413</v>
      </c>
      <c r="N27" s="15" t="n">
        <v>14.13</v>
      </c>
      <c r="O27" s="17" t="inlineStr">
        <is>
          <t>PASSED</t>
        </is>
      </c>
      <c r="P27" s="16" t="n">
        <v>0.8587</v>
      </c>
    </row>
    <row r="28">
      <c r="A28" s="12" t="n">
        <v>20</v>
      </c>
      <c r="B28" s="13" t="inlineStr">
        <is>
          <t>Analisis</t>
        </is>
      </c>
      <c r="C28" s="13" t="inlineStr">
        <is>
          <t>google/gemma-4-26b-a4b-it:free</t>
        </is>
      </c>
      <c r="D28" s="14" t="inlineStr">
        <is>
          <t>Apa perbedaan antara penilaian mandiri dan penilaian eksternal dalam evaluasi kinerja?</t>
        </is>
      </c>
      <c r="E28" s="14" t="inlineStr">
        <is>
          <t>Penilaian mandiri dilakukan internal organisasi; penilaian eksternal dilakukan pihak di luar organisasi untuk verifikasi.</t>
        </is>
      </c>
      <c r="F28" s="14" t="inlineStr">
        <is>
          <t>Perbedaan antara penilaian mandiri (*self-assessment*) dan penilaian eksternal dalam evaluasi kinerja SPBE adalah:
1. **Penilaian Mandiri (*Self-Assessment*)**:
   * **Pelaksana:** Dilakukan oleh instansi itu sendiri (Internal).
   * **Tujuan:** Mengukur tingkat kematangan secara mandiri, mengidentifikasi kesenjangan (*gap analysis*), dan sebagai persiapan sebelum audit/evaluasi resmi.
   * **Sifat:** Subjektif dan merupakan basis data awal.
2. **Penilaian Eksternal**:
   * **Pelaksana:** Dilakukan oleh pihak luar yang kompeten/berwenang (conto ter: KemenPAN-RB atau evaluator independen).
   * **Tujuan:** Menguji validitas data, memberikan penilaian objektif, dan menentukan indeks kematangan SPBE secara resmi.
   * **Sifat:** Objektif, verifikatif, dan menjadi dasar penetapan nilai capaian nasional.</t>
        </is>
      </c>
      <c r="G28" s="15" t="n">
        <v>100</v>
      </c>
      <c r="H28" s="15" t="n">
        <v>23.84</v>
      </c>
      <c r="I28" s="15" t="n">
        <v>4.41</v>
      </c>
      <c r="J28" s="15" t="n">
        <v>88.18000000000001</v>
      </c>
      <c r="K28" s="15" t="n">
        <v>88.18000000000001</v>
      </c>
      <c r="L28" s="16" t="n">
        <v>0.1182</v>
      </c>
      <c r="M28" s="16" t="n">
        <v>0.1182</v>
      </c>
      <c r="N28" s="15" t="n">
        <v>11.82</v>
      </c>
      <c r="O28" s="17" t="inlineStr">
        <is>
          <t>PASSED</t>
        </is>
      </c>
      <c r="P28" s="16" t="n">
        <v>0.8818</v>
      </c>
    </row>
    <row r="29">
      <c r="A29" s="12" t="n">
        <v>21</v>
      </c>
      <c r="B29" s="13" t="inlineStr">
        <is>
          <t>Analisis</t>
        </is>
      </c>
      <c r="C29" s="13" t="inlineStr">
        <is>
          <t>google/gemma-4-26b-a4b-it:free</t>
        </is>
      </c>
      <c r="D29" s="14" t="inlineStr">
        <is>
          <t>Bagaimana hubungan antara tata kelola data dan interoperabilitas data dalam mendukung penyelenggaraan pemerintah digital?</t>
        </is>
      </c>
      <c r="E29" s="14" t="inlineStr">
        <is>
          <t>Tata kelola data menetapkan standar pengelolaan data, sedangkan interoperabilitas data memungkinkan pertukaran data dan pemanfaatan data lintas sistem.</t>
        </is>
      </c>
      <c r="F29" s="14" t="inlineStr">
        <is>
          <t>Hubungan antara tata kelola data dan interoperabilitas data dalam SPBE adalah hubungan **fondasi dan mekanisme**:
1.  **Tata Kelola Data sebagai Fondasi:** Menetapkan aturan main (standar data, metadata, keamanan, dan hak akses) agar data memiliki kualitas, validitas, dan kejelasan kepemilikan (kedaulatan data).
2.esa **Interoperabilitas Data sebagai Mekanisme:** Menjadi sarana teknis (melalui API, standar format, dan infrastruktur berbagi pakai) agar data yang sudah terkelola dengan baik dapat mengalir dan digunakan antar instansi.
**Intinya:**
Tanpa **tata kelola** yang baik, interoperabilitas hanya akan mempercepat penyebaran data yang salah/kotor. Tanpa **interoperabilitas**, tata kelola data yang baik akan terisolasi dalam silo-silo instansi (tidak bermanfaat secara sistemik). 
Keduanya bekerja sama untuk menciptakan **Satu Data Indonesia** yang menjadi mesin penggerak pemerintah digital.</t>
        </is>
      </c>
      <c r="G29" s="15" t="n">
        <v>100</v>
      </c>
      <c r="H29" s="15" t="n">
        <v>25.47</v>
      </c>
      <c r="I29" s="15" t="n">
        <v>4.4</v>
      </c>
      <c r="J29" s="15" t="n">
        <v>88</v>
      </c>
      <c r="K29" s="15" t="n">
        <v>88</v>
      </c>
      <c r="L29" s="16" t="n">
        <v>0.12</v>
      </c>
      <c r="M29" s="16" t="n">
        <v>0.12</v>
      </c>
      <c r="N29" s="15" t="n">
        <v>12</v>
      </c>
      <c r="O29" s="17" t="inlineStr">
        <is>
          <t>PASSED</t>
        </is>
      </c>
      <c r="P29" s="16" t="n">
        <v>0.88</v>
      </c>
    </row>
    <row r="30">
      <c r="A30" s="12" t="n">
        <v>22</v>
      </c>
      <c r="B30" s="13" t="inlineStr">
        <is>
          <t>Ekstraksi</t>
        </is>
      </c>
      <c r="C30" s="13" t="inlineStr">
        <is>
          <t>google/gemma-4-26b-a4b-it:free</t>
        </is>
      </c>
      <c r="D30" s="14" t="inlineStr">
        <is>
          <t>Sebutkan 4 indikator yang termasuk dalam Aspek Data pada Indeks Pemdi.</t>
        </is>
      </c>
      <c r="E30" s="14" t="inlineStr">
        <is>
          <t>Tata Kelola Data, Penyelenggaraan Informasi Geospasial, Pembangunan Statistik, Pelindungan Data Pribadi.</t>
        </is>
      </c>
      <c r="F30" s="14" t="inlineStr">
        <is>
          <t>4 indikator dalam Aspek Data pada Indeks SPBE adalah:
1.  **Data Terintegrasi**
2.anks **Data Terbagi**
3.  **Kualitas Data**
4.  **Keamanan Data**</t>
        </is>
      </c>
      <c r="G30" s="15" t="n">
        <v>100</v>
      </c>
      <c r="H30" s="15" t="n">
        <v>11.07</v>
      </c>
      <c r="I30" s="15" t="n">
        <v>4.45</v>
      </c>
      <c r="J30" s="15" t="n">
        <v>88.94</v>
      </c>
      <c r="K30" s="15" t="n">
        <v>88.94</v>
      </c>
      <c r="L30" s="16" t="n">
        <v>0.1106</v>
      </c>
      <c r="M30" s="16" t="n">
        <v>0.1106</v>
      </c>
      <c r="N30" s="15" t="n">
        <v>11.06</v>
      </c>
      <c r="O30" s="17" t="inlineStr">
        <is>
          <t>PASSED</t>
        </is>
      </c>
      <c r="P30" s="16" t="n">
        <v>0.8894</v>
      </c>
    </row>
    <row r="31">
      <c r="A31" s="12" t="n">
        <v>23</v>
      </c>
      <c r="B31" s="13" t="inlineStr">
        <is>
          <t>Faktual</t>
        </is>
      </c>
      <c r="C31" s="13" t="inlineStr">
        <is>
          <t>google/gemma-4-26b-a4b-it:free</t>
        </is>
      </c>
      <c r="D31" s="14" t="inlineStr">
        <is>
          <t>Bagaimana AI dapat dimanfaatkan untuk meningkatkan kualitas layanan publik?</t>
        </is>
      </c>
      <c r="E31" s="14" t="inlineStr">
        <is>
          <t>Membantu otomatisasi layanan, analisis data, dan penyediaan informasi yang lebih cepat dan akurat.</t>
        </is>
      </c>
      <c r="F31" s="14" t="inlineStr">
        <is>
          <t>Pemanfaatan AI dalam meningkatkan kualitas layanan publik dapat dilakukan melalui empat aspek utama:
1.  **Otomasi Layanan (Chatbot &amp; Virtual Assistant):** Menyediakan layanan informasi 24/7 secara responsif untuk menjawab pertanyaan rutin masyarakat tanpa intervensi manusia secara langsung.
2.  **Personalisasi Layanan:** Menggunakan analisis data besar (*Big Data*) untuk memberikan rekomendasi layanan yang sesuai dengan profil, kebutuhan, dan perilaku pengguna.
3.t **Efisiensi Operasional &amp; Pengambilan Keputusan:** Mengotomasi proses administrasi yang repetitif dan menyediakan analisis prediktif berbasis data untuk membantu kebijakan pemerintah yang lebih akurat (*Data-Driven Policy*).
4.  **Deteksi Anomali &amp; Keamanan:** Mendeteksi potensi kecurangan (*fraud*) dalam penyaluran bantuan sosial serta memperkuat sistem keamanan siber pada infrastruktur digital pemerintah.</t>
        </is>
      </c>
      <c r="G31" s="15" t="n">
        <v>100</v>
      </c>
      <c r="H31" s="15" t="n">
        <v>261.38</v>
      </c>
      <c r="I31" s="15" t="n">
        <v>4.26</v>
      </c>
      <c r="J31" s="15" t="n">
        <v>85.20999999999999</v>
      </c>
      <c r="K31" s="15" t="n">
        <v>85.20999999999999</v>
      </c>
      <c r="L31" s="16" t="n">
        <v>0.1479</v>
      </c>
      <c r="M31" s="16" t="n">
        <v>0.1479</v>
      </c>
      <c r="N31" s="15" t="n">
        <v>14.79</v>
      </c>
      <c r="O31" s="17" t="inlineStr">
        <is>
          <t>PASSED</t>
        </is>
      </c>
      <c r="P31" s="16" t="n">
        <v>0.8521</v>
      </c>
    </row>
    <row r="32">
      <c r="A32" s="12" t="n">
        <v>24</v>
      </c>
      <c r="B32" s="13" t="inlineStr">
        <is>
          <t>Analisis</t>
        </is>
      </c>
      <c r="C32" s="13" t="inlineStr">
        <is>
          <t>google/gemma-4-26b-a4b-it:free</t>
        </is>
      </c>
      <c r="D32" s="14" t="inlineStr">
        <is>
          <t>Mengapa data berkualitas penting dalam proses perumusan kebijakan?</t>
        </is>
      </c>
      <c r="E32" s="14" t="inlineStr">
        <is>
          <t>Karena kebijakan yang baik harus didasarkan pada data yang akurat, lengkap, dan terpercaya</t>
        </is>
      </c>
      <c r="F32" s="14" t="inlineStr">
        <is>
          <t>Data berkualitas penting dalam perumusan kebijakan karena:
1.  **Akurasi Kebijakan:** Menghindari kesalahan pengambilan keputusan yang disebabkan oleh data yang salah, tidak lengkap, atau tidak relevan.
2._**Efektivitas dan Efisiensi:** Memastikan intervensi pemerintah tepat sasaran dan sumber daya dialokasikan secara optimal sesuai kondisi riil di lapangan.
3. **Objektivitas:** Menggantikan intuisi atau asumsi dengan bukti empiris (*evidence-based policy*), sehingga kebijakan lebih terukur dan dapat dipertanggungjawabkan.
4. **Prediksi Akurat:** Memungkinkan pemodelan dan analisis tren masa depan yang lebih presisi untuk mitigasi risiko.
5. **Integrasi Data:** Sesuai prinsip **Satu Data Indonesia**, data yang berkualitas menjamin interoperabilitas antar instansi guna menghindari duplikasi data dalam pengambilan keputusan lintas sektor.</t>
        </is>
      </c>
      <c r="G32" s="15" t="n">
        <v>100</v>
      </c>
      <c r="H32" s="15" t="n">
        <v>31.75</v>
      </c>
      <c r="I32" s="15" t="n">
        <v>4.34</v>
      </c>
      <c r="J32" s="15" t="n">
        <v>86.76000000000001</v>
      </c>
      <c r="K32" s="15" t="n">
        <v>86.76000000000001</v>
      </c>
      <c r="L32" s="16" t="n">
        <v>0.1324</v>
      </c>
      <c r="M32" s="16" t="n">
        <v>0.1324</v>
      </c>
      <c r="N32" s="15" t="n">
        <v>13.24</v>
      </c>
      <c r="O32" s="17" t="inlineStr">
        <is>
          <t>PASSED</t>
        </is>
      </c>
      <c r="P32" s="16" t="n">
        <v>0.8676</v>
      </c>
    </row>
    <row r="33">
      <c r="A33" s="12" t="n">
        <v>25</v>
      </c>
      <c r="B33" s="13" t="inlineStr">
        <is>
          <t>Faktual</t>
        </is>
      </c>
      <c r="C33" s="13" t="inlineStr">
        <is>
          <t>google/gemma-4-26b-a4b-it:free</t>
        </is>
      </c>
      <c r="D33" s="14" t="inlineStr">
        <is>
          <t>Secara umum, apa fungsi metadata dalam tata kelola data?</t>
        </is>
      </c>
      <c r="E33" s="14" t="inlineStr">
        <is>
          <t>Menjelaskan konteks, struktur, dan makna data agar mudah ditemukan, dipahami, dan digunakan ulang.</t>
        </is>
      </c>
      <c r="F33" s="14" t="inlineStr">
        <is>
          <t>Dalam tata kelola data, metadata berfungsi sebagai **informasi terstruktur yang mendeskripsikan, menjelaskan, menemukan, atau membuat data menjadi mudah digunakan.**
Secara spesifik, fungsi metadata adalah:
1.  **Identifikasi &amp; Deskripsi:** Memberikan konteks mengenai isi, format, struktur, dan asal-usul data (*data lineage*).
2.  **Navigasi &amp; Penemuan:** Memudahkan pencarian dan temu balik data dalam repositori atau katalog data.
3.t**Interoperabilitas:** Memungkinkan sistem yang berbeda untuk saling memahami dan bertukar data secara akurat.
4.  **Kualitas &amp; Keamanan:** Menentukan standar kualitas data, tingkat kerahasiaan, hak akses, serta masa retensi data.
5.t**Manajemen Siklus Hidup:** Membantu pengelolaan data mulai dari tahap pembuatan, penggunaan, hingga pengarsipan.</t>
        </is>
      </c>
      <c r="G33" s="15" t="n">
        <v>100</v>
      </c>
      <c r="H33" s="15" t="n">
        <v>23.58</v>
      </c>
      <c r="I33" s="15" t="n">
        <v>4.32</v>
      </c>
      <c r="J33" s="15" t="n">
        <v>86.41</v>
      </c>
      <c r="K33" s="15" t="n">
        <v>86.41</v>
      </c>
      <c r="L33" s="16" t="n">
        <v>0.1359</v>
      </c>
      <c r="M33" s="16" t="n">
        <v>0.1359</v>
      </c>
      <c r="N33" s="15" t="n">
        <v>13.59</v>
      </c>
      <c r="O33" s="17" t="inlineStr">
        <is>
          <t>PASSED</t>
        </is>
      </c>
      <c r="P33" s="16" t="n">
        <v>0.8641</v>
      </c>
    </row>
    <row r="34">
      <c r="A34" s="12" t="n">
        <v>26</v>
      </c>
      <c r="B34" s="13" t="inlineStr">
        <is>
          <t>Faktual</t>
        </is>
      </c>
      <c r="C34" s="13" t="inlineStr">
        <is>
          <t>google/gemma-4-26b-a4b-it:free</t>
        </is>
      </c>
      <c r="D34" s="14" t="inlineStr">
        <is>
          <t>Apa yang dimaksud dengan layanan publik berbasis siklus hidup (life event)?</t>
        </is>
      </c>
      <c r="E34" s="14" t="inlineStr">
        <is>
          <t>Layanan yang dirancang mengikuti peristiwa hidup warga (lahir, sekolah, kerja, dsb.) bukan per-instansi.</t>
        </is>
      </c>
      <c r="F34" s="14" t="inlineStr">
        <is>
          <t>**Layanan publik berbasis siklus hidup (*life event*)** adalah pendekatan pemberian layanan pemerintah yang tidak lagi berbasis pada fungsi instansi (silofikasi), melainkan berbasis pada **peristiwa atau fase kehidupan warga negara.**
**Poin Utama:**
1.  **Fokus:** Berpusat pada kebutuhan warga saat mengalami peristiwa tertentu (conto*n: kelahiran, pernikahan, pendidikan, hingga kematian).
2.- **Integrasi:** Menyatukan berbagai layanan dari berbagai instansi pemerintah ke dalam satu alur proses yang terintegrasi.
3.**Tujuan:** Menghilangkan fragmentasi layanan, mengurangi beban administrasi warga, dan menciptakan pengalaman pengguna (*user experience*) yang seamless (tanpa hambatan antar instansi).</t>
        </is>
      </c>
      <c r="G34" s="15" t="n">
        <v>100</v>
      </c>
      <c r="H34" s="15" t="n">
        <v>146.37</v>
      </c>
      <c r="I34" s="15" t="n">
        <v>4.37</v>
      </c>
      <c r="J34" s="15" t="n">
        <v>87.34999999999999</v>
      </c>
      <c r="K34" s="15" t="n">
        <v>87.34999999999999</v>
      </c>
      <c r="L34" s="16" t="n">
        <v>0.1265</v>
      </c>
      <c r="M34" s="16" t="n">
        <v>0.1265</v>
      </c>
      <c r="N34" s="15" t="n">
        <v>12.65</v>
      </c>
      <c r="O34" s="17" t="inlineStr">
        <is>
          <t>PASSED</t>
        </is>
      </c>
      <c r="P34" s="16" t="n">
        <v>0.8735000000000001</v>
      </c>
    </row>
    <row r="35">
      <c r="A35" s="12" t="n">
        <v>27</v>
      </c>
      <c r="B35" s="13" t="inlineStr">
        <is>
          <t>Analisis</t>
        </is>
      </c>
      <c r="C35" s="13" t="inlineStr">
        <is>
          <t>google/gemma-4-26b-a4b-it:free</t>
        </is>
      </c>
      <c r="D35" s="14" t="inlineStr">
        <is>
          <t>Mengapa pengukuran berbasis indeks digunakan dalam evaluasi pemerintahan?</t>
        </is>
      </c>
      <c r="E35" s="14" t="inlineStr">
        <is>
          <t>Untuk menstandarkan penilaian, membandingkan antarinstansi, dan memantau kemajuan secara objektif.</t>
        </is>
      </c>
      <c r="F35" s="14" t="inlineStr">
        <is>
          <t>Pengukuran berbasis indeks digunakan dalam evaluasi pemerintahan karena:
1.  **Standardisasi:** Memberikan parameter yang seragam untuk membandingkan kinerja antar instansi (pusat/daerah).
2.  **Objektivitas:** Mengubah data kualitatif yang kompleks menjadi angka kuantitatif yang terukur dan terstandar.
3.- **Benchmarking:** Memungkinkan pemetaan posisi kinerja instansi terhadap target nasional.
4.  **Monitoring &amp; Evaluasi:** Memudahkan identifikasi area yang belum optimal (gap analysis) untuk perbaikan kebijakan berbasis data.
5.  **Akuntabilitas:** Menyediakan bukti capaian kinerja yang konkret bagi pemangku kepentingan dan publik.</t>
        </is>
      </c>
      <c r="G35" s="15" t="n">
        <v>100</v>
      </c>
      <c r="H35" s="15" t="n">
        <v>20.67</v>
      </c>
      <c r="I35" s="15" t="n">
        <v>4.41</v>
      </c>
      <c r="J35" s="15" t="n">
        <v>88.25</v>
      </c>
      <c r="K35" s="15" t="n">
        <v>88.25</v>
      </c>
      <c r="L35" s="16" t="n">
        <v>0.1175</v>
      </c>
      <c r="M35" s="16" t="n">
        <v>0.1175</v>
      </c>
      <c r="N35" s="15" t="n">
        <v>11.75</v>
      </c>
      <c r="O35" s="17" t="inlineStr">
        <is>
          <t>PASSED</t>
        </is>
      </c>
      <c r="P35" s="16" t="n">
        <v>0.8825</v>
      </c>
    </row>
    <row r="36">
      <c r="A36" s="12" t="n">
        <v>28</v>
      </c>
      <c r="B36" s="13" t="inlineStr">
        <is>
          <t>Evaluatif</t>
        </is>
      </c>
      <c r="C36" s="13" t="inlineStr">
        <is>
          <t>google/gemma-4-26b-a4b-it:free</t>
        </is>
      </c>
      <c r="D36" s="14" t="inlineStr">
        <is>
          <t>Apa manfaat audit keamanan informasi yang dilakukan secara berkala?</t>
        </is>
      </c>
      <c r="E36" s="14" t="inlineStr">
        <is>
          <t>Mengidentifikasi kerentanan, memastikan kepatuhan kontrol, dan mendorong perbaikan berkelanjutan.</t>
        </is>
      </c>
      <c r="F36" s="14" t="inlineStr">
        <is>
          <t>Manfaat audit keamanan informasi secara berkala adalah:
1.  **Identifikasi Celah Keamanan:** Menemukan kerentanan (*vulnerability*) pada infrastruktur dan aplikasi sebelum dieksploitasi oleh pihak tidak berwenang.
2.  **Kepatuhan Regulasi (*Compliance*):** Memastikan tata kelola keamanan selaras dengan standar nasional (seperti Peraturan BSSN) dan standar internasional (ISO/IEC 27001).
3.  -**Evaluasi Efektivitas Kontrol:** Mengukur sejauh mana kebijakan, prosedur, dan kendali teknis yang ada mampu memitigasi risiko keamanan.
4.  **Mitigasi Risiko:** Menurunkan probabilitas dan dampak insiden siber melalui langkah perbaikan yang terukur.
5.  **Menjamin Keamanan Aset Informasi:** Melindungi kerahasiaan (*confidentiality*), keutuhan (*integrity*), dan ketersediaan (*availability*) data pemerintah.</t>
        </is>
      </c>
      <c r="G36" s="15" t="n">
        <v>100</v>
      </c>
      <c r="H36" s="15" t="n">
        <v>14.67</v>
      </c>
      <c r="I36" s="15" t="n">
        <v>4.29</v>
      </c>
      <c r="J36" s="15" t="n">
        <v>85.86</v>
      </c>
      <c r="K36" s="15" t="n">
        <v>85.86</v>
      </c>
      <c r="L36" s="16" t="n">
        <v>0.1414</v>
      </c>
      <c r="M36" s="16" t="n">
        <v>0.1414</v>
      </c>
      <c r="N36" s="15" t="n">
        <v>14.14</v>
      </c>
      <c r="O36" s="17" t="inlineStr">
        <is>
          <t>PASSED</t>
        </is>
      </c>
      <c r="P36" s="16" t="n">
        <v>0.8586</v>
      </c>
    </row>
    <row r="37">
      <c r="A37" s="12" t="n">
        <v>29</v>
      </c>
      <c r="B37" s="13" t="inlineStr">
        <is>
          <t>Faktual</t>
        </is>
      </c>
      <c r="C37" s="13" t="inlineStr">
        <is>
          <t>google/gemma-4-26b-a4b-it:free</t>
        </is>
      </c>
      <c r="D37" s="14" t="inlineStr">
        <is>
          <t>Jelaskan konsep 'human-based governance' secara umum.</t>
        </is>
      </c>
      <c r="E37" s="14" t="inlineStr">
        <is>
          <t>Tata kelola yang berorientasi pada kebutuhan dan dampak nyata bagi manusia/pengguna layanan.</t>
        </is>
      </c>
      <c r="F37" s="14" t="inlineStr">
        <is>
          <t>**Human-based governance** adalah pendekatan tata kelola yang menempatkan **manusia (SDM)** sebagai pusat kendali, pengambil keputusan, dan pengelola utama teknologi.
Dalam konteks SPBE, konsep ini menekankan bahwa:
1. **Teknologi sebagai Alat:** Teknologi informasi hanya berfungsi sebagai pendukung (*enabler*), bukan pengganti peran manusia.
2. **Pengambilan Keputusan:** Keputusan strategis tetap berada di tangan manusia (pejabat/pegawai) berdasarkan pertimbangan etika, kebijakan, dan akuntabilitas.
3. **Pusat Kendali:** Keberhasilan tata kelola tidak hanya diukur dari kecanggihan infrastruktur, tetapi dari kompetensi, budaya kerja, dan kesiapan SDM dalam mengoperasikan serta mengawasi sistem tersebut.</t>
        </is>
      </c>
      <c r="G37" s="15" t="n">
        <v>84.05</v>
      </c>
      <c r="H37" s="15" t="n">
        <v>138.83</v>
      </c>
      <c r="I37" s="15" t="n">
        <v>4.2</v>
      </c>
      <c r="J37" s="15" t="n">
        <v>84.05</v>
      </c>
      <c r="K37" s="15" t="n">
        <v>84.05</v>
      </c>
      <c r="L37" s="16" t="n">
        <v>0.1595</v>
      </c>
      <c r="M37" s="16" t="n">
        <v>0.1595</v>
      </c>
      <c r="N37" s="15" t="n">
        <v>15.95</v>
      </c>
      <c r="O37" s="18" t="inlineStr">
        <is>
          <t>FAILED</t>
        </is>
      </c>
      <c r="P37" s="16" t="n">
        <v>0.8405</v>
      </c>
    </row>
    <row r="38">
      <c r="A38" s="12" t="n">
        <v>30</v>
      </c>
      <c r="B38" s="13" t="inlineStr">
        <is>
          <t>Analisis</t>
        </is>
      </c>
      <c r="C38" s="13" t="inlineStr">
        <is>
          <t>google/gemma-4-26b-a4b-it:free</t>
        </is>
      </c>
      <c r="D38" s="14" t="inlineStr">
        <is>
          <t>Apa peran kepemimpinan digital (digital leadership) dalam transformasi instansi?</t>
        </is>
      </c>
      <c r="E38" s="14" t="inlineStr">
        <is>
          <t>Mengarahkan visi, budaya, dan keputusan strategis agar transformasi digital berjalan efektif.</t>
        </is>
      </c>
      <c r="F38" s="14" t="inlineStr">
        <is>
          <t>Dalam transformasi instansi melalui SPBE, peran **Digital Leadership** adalah sebagai berikut:
1.  **Penentu Arah Strategis:** Menetapkan visi, misi, dan target digitalisasi yang selaras dengan tujuan organisasi (bukan sekadar pengadaan perangkat).
2.- **Penggerak Perubahan (*Change Agent*):** Mengatasi resistensi budaya kerja manual ke budaya digital melalui perubahan pola pikir (*mindset*) dan budaya kerja (*culture set*).
3.- **Pengambil Kebijakan Berbasis Data:** Memastikan pengambilan keputusan didasarkan pada integrasi data dan interoperabilitas sistem, bukan intuisi semata.
4.- **Alokator Sumber Daya:** Menjamin ketersediaan anggaran, SDM digital yang kompeten, dan infrastruktur teknologi yang memadai.
5.- **Mitigator Risiko:** Memimpin tata kelola keamanan informasi dan manajemen risiko teknologi untuk menjaga keberlangsungan layanan publik.
**Intinya:** Kepemimpinan digital adalah motor penggerak yang mengubah teknologi dari sekadar "alat" menjadi "instrumen strategis" untuk meningkatkan efisi-efisiensi dan kualitas layanan publik.</t>
        </is>
      </c>
      <c r="G38" s="15" t="n">
        <v>100</v>
      </c>
      <c r="H38" s="15" t="n">
        <v>34.85</v>
      </c>
      <c r="I38" s="15" t="n">
        <v>4.4</v>
      </c>
      <c r="J38" s="15" t="n">
        <v>88.06999999999999</v>
      </c>
      <c r="K38" s="15" t="n">
        <v>88.06999999999999</v>
      </c>
      <c r="L38" s="16" t="n">
        <v>0.1193</v>
      </c>
      <c r="M38" s="16" t="n">
        <v>0.1193</v>
      </c>
      <c r="N38" s="15" t="n">
        <v>11.93</v>
      </c>
      <c r="O38" s="17" t="inlineStr">
        <is>
          <t>PASSED</t>
        </is>
      </c>
      <c r="P38" s="16" t="n">
        <v>0.8807</v>
      </c>
    </row>
    <row r="39">
      <c r="A39" s="12" t="n">
        <v>31</v>
      </c>
      <c r="B39" s="13" t="inlineStr">
        <is>
          <t>Ekstraksi</t>
        </is>
      </c>
      <c r="C39" s="13" t="inlineStr">
        <is>
          <t>google/gemma-4-26b-a4b-it:free</t>
        </is>
      </c>
      <c r="D39" s="14" t="inlineStr">
        <is>
          <t>Sebutkan dua tujuan utama visitasi atau observasi lapangan dalam evaluasi Pemdi.</t>
        </is>
      </c>
      <c r="E39" s="14" t="inlineStr">
        <is>
          <t>Memvalidasi bukti yang disampaikan dan mengonfirmasi kondisi implementasi di lapangan.</t>
        </is>
      </c>
      <c r="F39" s="14" t="inlineStr">
        <is>
          <t>Dua tujuan utama visitasi atau observasi lapangan dalam evaluasi SPBE adalah:
1. **Validasi Data:** Memastikan kesesuaği antara bukti dukung (dokumen) yang diunggah dengan kondisi implementasi nyata di lapangan.
2. **Verifikasi Kondisi Riil:** Menilai kematangan penerapan tata kelola, layanan, dan infrastksi TI secara langsung untuk memastikan objektivitas nilai evaluasi.</t>
        </is>
      </c>
      <c r="G39" s="15" t="n">
        <v>100</v>
      </c>
      <c r="H39" s="15" t="n">
        <v>10.43</v>
      </c>
      <c r="I39" s="15" t="n">
        <v>4.4</v>
      </c>
      <c r="J39" s="15" t="n">
        <v>88.04000000000001</v>
      </c>
      <c r="K39" s="15" t="n">
        <v>88.04000000000001</v>
      </c>
      <c r="L39" s="16" t="n">
        <v>0.1196</v>
      </c>
      <c r="M39" s="16" t="n">
        <v>0.1196</v>
      </c>
      <c r="N39" s="15" t="n">
        <v>11.96</v>
      </c>
      <c r="O39" s="17" t="inlineStr">
        <is>
          <t>PASSED</t>
        </is>
      </c>
      <c r="P39" s="16" t="n">
        <v>0.8804</v>
      </c>
    </row>
    <row r="40">
      <c r="A40" s="12" t="n">
        <v>32</v>
      </c>
      <c r="B40" s="13" t="inlineStr">
        <is>
          <t>Analisis</t>
        </is>
      </c>
      <c r="C40" s="13" t="inlineStr">
        <is>
          <t>google/gemma-4-26b-a4b-it:free</t>
        </is>
      </c>
      <c r="D40" s="14" t="inlineStr">
        <is>
          <t>Mengapa redundansi data antarinstansi dianggap masalah dalam pemerintahan?</t>
        </is>
      </c>
      <c r="E40" s="14" t="inlineStr">
        <is>
          <t>Menyebabkan inkonsistensi, pemborosan, dan menyulitkan integrasi layanan.</t>
        </is>
      </c>
      <c r="F40" s="14" t="inlineStr">
        <is>
          <t>Redundansi data antarinstansi dianggap masalah karena:
1.  **Inefisiensi Anggaran:** Pemborosan biaya pengadaan infrastruktur, penyimpanan (*storage*), dan pemeliharaan sistem yang menyimpan data yang sama.
2.  **Ketidakakuratan Data:** Risiko perbedaan versi data (*data inconsistency*) yang menyebabkan pengambilan kebijakan menjadi tidak akurat.
3.  -**Hambatan Interoperabilitas:** Menyulitkan integrasi sistem dan pertukaran data antarinstansi (silogisme data).
4.  **Pemborosan Sumber Daya:** Beban kerja pemutakhiran data (*update*) menjadi berulang dan tidak sinkron.
5.  **Menghambat Layanan Publik:** Proses birokrasi menjadi lambat karena masyarakat harus menginput data yang sama berulang kali ke instansi yang berbeda.
**Dasar Regulasi:** Perpres No. 92 Tahun 2-022 tentang SPBE yang menekungan pentingnya **Satu Data Indonesia** untuk menjamin data yang akurat, mutakhir, terpadu, dan dapat dipertanggungjawabkan.</t>
        </is>
      </c>
      <c r="G40" s="15" t="n">
        <v>100</v>
      </c>
      <c r="H40" s="15" t="n">
        <v>21.55</v>
      </c>
      <c r="I40" s="15" t="n">
        <v>4.36</v>
      </c>
      <c r="J40" s="15" t="n">
        <v>87.13</v>
      </c>
      <c r="K40" s="15" t="n">
        <v>87.13</v>
      </c>
      <c r="L40" s="16" t="n">
        <v>0.1287</v>
      </c>
      <c r="M40" s="16" t="n">
        <v>0.1287</v>
      </c>
      <c r="N40" s="15" t="n">
        <v>12.87</v>
      </c>
      <c r="O40" s="17" t="inlineStr">
        <is>
          <t>PASSED</t>
        </is>
      </c>
      <c r="P40" s="16" t="n">
        <v>0.8713</v>
      </c>
    </row>
    <row r="41">
      <c r="A41" s="12" t="n">
        <v>33</v>
      </c>
      <c r="B41" s="13" t="inlineStr">
        <is>
          <t>Faktual</t>
        </is>
      </c>
      <c r="C41" s="13" t="inlineStr">
        <is>
          <t>google/gemma-4-26b-a4b-it:free</t>
        </is>
      </c>
      <c r="D41" s="14" t="inlineStr">
        <is>
          <t>Apa fungsi forum data dalam koordinasi antar-unit penyelenggara?</t>
        </is>
      </c>
      <c r="E41" s="14" t="inlineStr">
        <is>
          <t>Wadah koordinasi untuk menyepakati standar, berbagi pakai, dan pemanfaatan data.</t>
        </is>
      </c>
      <c r="F41" s="14" t="inlineStr">
        <is>
          <t>Fungsi utama **Forum Data** dalam koordinasi antar-unit penyelenggara adalah:
1.  **Sinkronisasi dan Harmonisasi:** Menyelaraskan standar data, metadata, dan interoperabilitas antar-instansi agar data tidak tumpang tindih.
2.ze **Penyelesaian Kendala:** Menjadi wadah untuk memecahkan masalah teknis maupun kebijakan terkait pertukaran dan berbagi pakai data.
3.  **Pengambilan Keputusan:** Menyediakan basis data yang akurat dan terintegrasi untuk mendukung kebijakan berbasis data (*data-driven policy*).
4.ly **Validasi Data:** Memastikan kualitas, akurasi, dan pemutakhiran data antar-unit penyelenggara tetap terjaga.
*Dasar Hukum: Peraturan Presiden No. 39 Tahun 2019 tentang Satu Data Indonesia.*</t>
        </is>
      </c>
      <c r="G41" s="15" t="n">
        <v>100</v>
      </c>
      <c r="H41" s="15" t="n">
        <v>41.05</v>
      </c>
      <c r="I41" s="15" t="n">
        <v>4.33</v>
      </c>
      <c r="J41" s="15" t="n">
        <v>86.51000000000001</v>
      </c>
      <c r="K41" s="15" t="n">
        <v>86.51000000000001</v>
      </c>
      <c r="L41" s="16" t="n">
        <v>0.1349</v>
      </c>
      <c r="M41" s="16" t="n">
        <v>0.1349</v>
      </c>
      <c r="N41" s="15" t="n">
        <v>13.49</v>
      </c>
      <c r="O41" s="17" t="inlineStr">
        <is>
          <t>PASSED</t>
        </is>
      </c>
      <c r="P41" s="16" t="n">
        <v>0.8651</v>
      </c>
    </row>
    <row r="42">
      <c r="A42" s="12" t="n">
        <v>34</v>
      </c>
      <c r="B42" s="13" t="inlineStr">
        <is>
          <t>Faktual</t>
        </is>
      </c>
      <c r="C42" s="13" t="inlineStr">
        <is>
          <t>google/gemma-4-26b-a4b-it:free</t>
        </is>
      </c>
      <c r="D42" s="14" t="inlineStr">
        <is>
          <t>Secara umum, apa itu manajemen risiko pada layanan digital?</t>
        </is>
      </c>
      <c r="E42" s="14" t="inlineStr">
        <is>
          <t>Proses mengidentifikasi, menilai, dan mengendalikan risiko terhadap keberlangsungan layanan.</t>
        </is>
      </c>
      <c r="F42" s="14" t="inlineStr">
        <is>
          <t>Manajemen risiko pada layanan digital adalah proses sistematis untuk **mengidentifikasi, menganalisis, mengevaluasi, dan memitigasi** potensi ancaman atau gangguan yang dapat menghambat ketersediaan, integritas, dan kerahasiaan layanan digital.
Dalam konteks SPBE, fokus utamanya adalah:
1.  **Identifikasi Risiko:** Menemukan celah keamanan, kegagalan infrastruktur, atau kesalahan data.
2.- **Analisis Dampak:** Menilai seberapa besar kerugian (operasional, finansial, atau reputasi) jika risiko terjadi.
3.- **Mitigasi:** Menentukan langkah pencegahan dan penanganan (seperti *backup* data, enkripsi, atau protokol pemulihan bencana).
4.- **Pemantauan:** Pengawasan berkelanjutan untuk memastikan kontrol risiko berjalan efektif sesuai standar keamanan informasi.</t>
        </is>
      </c>
      <c r="G42" s="15" t="n">
        <v>100</v>
      </c>
      <c r="H42" s="15" t="n">
        <v>27.52</v>
      </c>
      <c r="I42" s="15" t="n">
        <v>4.38</v>
      </c>
      <c r="J42" s="15" t="n">
        <v>87.59999999999999</v>
      </c>
      <c r="K42" s="15" t="n">
        <v>87.59999999999999</v>
      </c>
      <c r="L42" s="16" t="n">
        <v>0.124</v>
      </c>
      <c r="M42" s="16" t="n">
        <v>0.124</v>
      </c>
      <c r="N42" s="15" t="n">
        <v>12.4</v>
      </c>
      <c r="O42" s="17" t="inlineStr">
        <is>
          <t>PASSED</t>
        </is>
      </c>
      <c r="P42" s="16" t="n">
        <v>0.876</v>
      </c>
    </row>
    <row r="43">
      <c r="A43" s="12" t="n">
        <v>35</v>
      </c>
      <c r="B43" s="13" t="inlineStr">
        <is>
          <t>Faktual</t>
        </is>
      </c>
      <c r="C43" s="13" t="inlineStr">
        <is>
          <t>google/gemma-4-26b-a4b-it:free</t>
        </is>
      </c>
      <c r="D43" s="14" t="inlineStr">
        <is>
          <t>Apa yang dimaksud dengan manajemen perubahan dalam organisasi digital?</t>
        </is>
      </c>
      <c r="E43" s="14" t="inlineStr">
        <is>
          <t>Pendekatan terstruktur mengelola transisi orang, proses, dan teknologi agar perubahan berhasil diadopsi.</t>
        </is>
      </c>
      <c r="F43" s="14" t="inlineStr">
        <is>
          <t>Dalam konteks organisasi digital (termasuk implementasi SPBE), **Manajemen Perubahan** adalah pendekatan sistematis untuk mengelola transisi dari budaya kerja konvensional ke budaya digital.
Fokus utamanya meliputi:
1.  **Transformasi Budaya:** Mengubah pola pikir (*mindset*) aparatur dari berbasis proses manual/birokratis menjadi berbasis data dan teknologi.
2.- **Kesiapan SDM:** Memastikan kompetensi sumber daya manusia selaras dengan penggunaan teknologi baru.
3.- **Mitigasi Resistensi:** Mengidentifikasi dan mengatasi penolakan terhadap perubahan sistem atau prosedur kerja baru.
4.- **Keberlanjutan:** Menjamin bahwa adopsi teknologi tidak hanya berhenti pada pengadaan alat, tetapi menjadi bagian dari cara kerja rutin organisasi.
**Intinya:** Manajemen perubahan memastikan teknologi digital diterima dan digunakan secara optimal oleh manusia di dalam organisasi, bukan sekadar pengadaan perangkat keras/lunak.</t>
        </is>
      </c>
      <c r="G43" s="15" t="n">
        <v>100</v>
      </c>
      <c r="H43" s="15" t="n">
        <v>21.56</v>
      </c>
      <c r="I43" s="15" t="n">
        <v>4.31</v>
      </c>
      <c r="J43" s="15" t="n">
        <v>86.16</v>
      </c>
      <c r="K43" s="15" t="n">
        <v>86.16</v>
      </c>
      <c r="L43" s="16" t="n">
        <v>0.1384</v>
      </c>
      <c r="M43" s="16" t="n">
        <v>0.1384</v>
      </c>
      <c r="N43" s="15" t="n">
        <v>13.84</v>
      </c>
      <c r="O43" s="17" t="inlineStr">
        <is>
          <t>PASSED</t>
        </is>
      </c>
      <c r="P43" s="16" t="n">
        <v>0.8616</v>
      </c>
    </row>
    <row r="44">
      <c r="A44" s="12" t="n">
        <v>36</v>
      </c>
      <c r="B44" s="13" t="inlineStr">
        <is>
          <t>Evaluatif</t>
        </is>
      </c>
      <c r="C44" s="13" t="inlineStr">
        <is>
          <t>google/gemma-4-26b-a4b-it:free</t>
        </is>
      </c>
      <c r="D44" s="14" t="inlineStr">
        <is>
          <t>Mengapa keterlibatan kelompok rentan penting dalam desain layanan publik?</t>
        </is>
      </c>
      <c r="E44" s="14" t="inlineStr">
        <is>
          <t>Untuk memastikan inklusivitas dan aksesibilitas layanan bagi disabilitas, lansia, dan kelompok lain.</t>
        </is>
      </c>
      <c r="F44" s="14" t="inlineStr">
        <is>
          <t>Keterlibatan kelompok rentan dalam desain layanan publik penting karena:
1.  **Prinsel Inklusivitas:** Memastikan layanan dapat diakses oleh semua warga negara tanpa diskriminasi, sesuai prinsip *Leave No One Behind*.
2.- **Aksesibilitas Digital:** Mengidentifikasi hambatan teknis (seperti keterbatasan fisik atau literasi digital) agar desain antarmuka dan sistem dapat digunakan oleh penyandang disabilitas dan lansia.
3.- **Efektivitas Layanan:** Menghindari kegagalan sistem (error/mismatch) yang terjadi jika kebutuhan spesifik pengguna tidak terakomodasi sejak tahap perancangan.
4.- **Keadilan Sosial:** Menjamin pemenuhan hak warga negara secara merata dalam ekosistem digital pemerintah.</t>
        </is>
      </c>
      <c r="G44" s="15" t="n">
        <v>100</v>
      </c>
      <c r="H44" s="15" t="n">
        <v>14.01</v>
      </c>
      <c r="I44" s="15" t="n">
        <v>4.34</v>
      </c>
      <c r="J44" s="15" t="n">
        <v>86.89</v>
      </c>
      <c r="K44" s="15" t="n">
        <v>86.89</v>
      </c>
      <c r="L44" s="16" t="n">
        <v>0.1311</v>
      </c>
      <c r="M44" s="16" t="n">
        <v>0.1311</v>
      </c>
      <c r="N44" s="15" t="n">
        <v>13.11</v>
      </c>
      <c r="O44" s="17" t="inlineStr">
        <is>
          <t>PASSED</t>
        </is>
      </c>
      <c r="P44" s="16" t="n">
        <v>0.8689</v>
      </c>
    </row>
    <row r="45">
      <c r="A45" s="12" t="n">
        <v>37</v>
      </c>
      <c r="B45" s="13" t="inlineStr">
        <is>
          <t>Faktual</t>
        </is>
      </c>
      <c r="C45" s="13" t="inlineStr">
        <is>
          <t>google/gemma-4-26b-a4b-it:free</t>
        </is>
      </c>
      <c r="D45" s="14" t="inlineStr">
        <is>
          <t>Apa peran chatbot atau widget umpan balik dalam layanan digital?</t>
        </is>
      </c>
      <c r="E45" s="14" t="inlineStr">
        <is>
          <t>Menyediakan kanal interaksi dan masukan pengguna secara langsung untuk perbaikan layanan.</t>
        </is>
      </c>
      <c r="F45" s="14" t="inlineStr">
        <is>
          <t>Dalam tata kelola layanan digital (termasuk dalam kerangka SPBE), chatbot atau widget umpan balik memiliki peran sebagai berikut:
1.  **Interaktivitas Layanan:** Menyediakan layanan bantuan mandiri (*self-service*) secara cepat untuk menjawab pertanyaan umum (FAQ) pengguna secara *real-time*.
2._**Mekanisme Umpan Balik (Feedback Loop):**** Berfungsi sebagai instrumen pengumpulan data kepuasan pengguna dan keluhan secara digital untuk evaluasi kualitas layanan.
3. **Efisiasi Operasional:** Mengurangi beban kerja administrator/operator layanan melalui otomatisasi pertanyaan rutin.
4. **Peningkatan Kualitas Layanan (Continuous Improvement):** Menyediakan data analitik berbasis input pengguna sebagai dasar perbaikan sistem dan kebijakan layanan digital secara berkelanjutan.</t>
        </is>
      </c>
      <c r="G45" s="15" t="n">
        <v>100</v>
      </c>
      <c r="H45" s="15" t="n">
        <v>14.57</v>
      </c>
      <c r="I45" s="15" t="n">
        <v>4.35</v>
      </c>
      <c r="J45" s="15" t="n">
        <v>86.94</v>
      </c>
      <c r="K45" s="15" t="n">
        <v>86.94</v>
      </c>
      <c r="L45" s="16" t="n">
        <v>0.1306</v>
      </c>
      <c r="M45" s="16" t="n">
        <v>0.1306</v>
      </c>
      <c r="N45" s="15" t="n">
        <v>13.06</v>
      </c>
      <c r="O45" s="17" t="inlineStr">
        <is>
          <t>PASSED</t>
        </is>
      </c>
      <c r="P45" s="16" t="n">
        <v>0.8694</v>
      </c>
    </row>
    <row r="46">
      <c r="A46" s="12" t="n">
        <v>38</v>
      </c>
      <c r="B46" s="13" t="inlineStr">
        <is>
          <t>Faktual</t>
        </is>
      </c>
      <c r="C46" s="13" t="inlineStr">
        <is>
          <t>google/gemma-4-26b-a4b-it:free</t>
        </is>
      </c>
      <c r="D46" s="14" t="inlineStr">
        <is>
          <t>Jelaskan secara umum apa itu analisis sentimen pengguna.</t>
        </is>
      </c>
      <c r="E46" s="14" t="inlineStr">
        <is>
          <t>Teknik menilai opini/emosi pengguna dari teks untuk mengukur kepuasan terhadap layanan.</t>
        </is>
      </c>
      <c r="F46" s="14" t="inlineStr">
        <is>
          <t>**Analisis sentimen pengguna** adalah teknik pengolahan data teks (seperti survei kepuasan, media sosial, atau pengaduan masyarakat) menggunakan *Natural Language Processing* (NLP) untuk mengidentifikasi dan mengategorikan opini, emosi, atau sikap pengguna terhadap suatu layanan atau kebijakan.
Dalam konteks SPBE, analisis ini bertujuan untuk:
1. **Mengukur tingkat kepuasan** masyarakat terhadap layanan digital pemerintah.
2. **Mendeteksi isu/keluhan** secara cepat melalui kanal pengaduan.
3. **Menyediakan basis data objektif** bagi pengambil kebijakan untuk melakukan perbaikan layanan berbasis data (*data-driven decision making*).</t>
        </is>
      </c>
      <c r="G46" s="15" t="n">
        <v>100</v>
      </c>
      <c r="H46" s="15" t="n">
        <v>25.37</v>
      </c>
      <c r="I46" s="15" t="n">
        <v>4.41</v>
      </c>
      <c r="J46" s="15" t="n">
        <v>88.18000000000001</v>
      </c>
      <c r="K46" s="15" t="n">
        <v>88.18000000000001</v>
      </c>
      <c r="L46" s="16" t="n">
        <v>0.1182</v>
      </c>
      <c r="M46" s="16" t="n">
        <v>0.1182</v>
      </c>
      <c r="N46" s="15" t="n">
        <v>11.82</v>
      </c>
      <c r="O46" s="17" t="inlineStr">
        <is>
          <t>PASSED</t>
        </is>
      </c>
      <c r="P46" s="16" t="n">
        <v>0.8818</v>
      </c>
    </row>
    <row r="47">
      <c r="A47" s="12" t="n">
        <v>39</v>
      </c>
      <c r="B47" s="13" t="inlineStr">
        <is>
          <t>Faktual</t>
        </is>
      </c>
      <c r="C47" s="13" t="inlineStr">
        <is>
          <t>google/gemma-4-26b-a4b-it:free</t>
        </is>
      </c>
      <c r="D47" s="14" t="inlineStr">
        <is>
          <t>Apa yang dimaksud dengan Infrastruktur Informasi Vital?</t>
        </is>
      </c>
      <c r="E47" s="14" t="inlineStr">
        <is>
          <t>Sistem/aset informasi yang sangat penting sehingga gangguannya berdampak luas dan perlu pelindungan khusus.</t>
        </is>
      </c>
      <c r="F47" s="14" t="inlineStr">
        <is>
          <t>**Infrastruktur Informasi Vital (IIV)** adalah aset informasi, sistem elektronik, serta infrastruktur pendukungnya yang bersifat kritis, di mana kegagalan atau gangguannya dapat berdampak langsung pada stabilitas nasional, keamanan negara, ekonomi, serta layanan publik esensial.
Dalam konteks regulasi di Indonesia, IIV mencakup sektor-sektor strategis seperti:
1. **Pemerintahan** (Data kedaulatan negara).
2. **Keuangan** (Sistem perbankan dan pembayaran).
3. **Energi** (Kelistrikan dan migas).
4. **Kesehatan** (Data medis nasional).
5. **Transportasi, Komunikasi, dan Pertahanan.**
Pengelolaan IIV wajib menerapkan standar keamanan siber tingkat tinggi karena dampaknya yang bersifat sistemik terhadap negara.</t>
        </is>
      </c>
      <c r="G47" s="15" t="n">
        <v>100</v>
      </c>
      <c r="H47" s="15" t="n">
        <v>15.32</v>
      </c>
      <c r="I47" s="15" t="n">
        <v>4.28</v>
      </c>
      <c r="J47" s="15" t="n">
        <v>85.53</v>
      </c>
      <c r="K47" s="15" t="n">
        <v>85.53</v>
      </c>
      <c r="L47" s="16" t="n">
        <v>0.1447</v>
      </c>
      <c r="M47" s="16" t="n">
        <v>0.1447</v>
      </c>
      <c r="N47" s="15" t="n">
        <v>14.47</v>
      </c>
      <c r="O47" s="17" t="inlineStr">
        <is>
          <t>PASSED</t>
        </is>
      </c>
      <c r="P47" s="16" t="n">
        <v>0.8552999999999999</v>
      </c>
    </row>
    <row r="48">
      <c r="A48" s="12" t="n">
        <v>40</v>
      </c>
      <c r="B48" s="13" t="inlineStr">
        <is>
          <t>Evaluatif</t>
        </is>
      </c>
      <c r="C48" s="13" t="inlineStr">
        <is>
          <t>google/gemma-4-26b-a4b-it:free</t>
        </is>
      </c>
      <c r="D48" s="14" t="inlineStr">
        <is>
          <t>Apa manfaat dashboard publik untuk transparansi kinerja layanan?</t>
        </is>
      </c>
      <c r="E48" s="14" t="inlineStr">
        <is>
          <t>Memberi akuntabilitas, memudahkan pemantauan publik, dan mendorong perbaikan berbasis data.</t>
        </is>
      </c>
      <c r="F48" s="14" t="inlineStr">
        <is>
          <t>Manfaat dashboard publik untuk transparansi kinerja layanan adalah:
1.  **Akuntabilitas Publik:** Menunjukkan bukti nyata kinerja pemerintah kepada masyarakat secara *real-time*.
2./ **Partisipasi Masyarakat:** Memungkinkan warga mengawasi kualitas layanan dan memberikan umpan balik.
3.  **Pengambilan Keputusan Berbasis Data:** Menyediakan data terbuka (*open data*) yang dapat digunakan untuk analisis kebijakan.
4.  **Peningkatan Kepercayaan (*Trust*):** Membangun kepercayaan publik melalui keterbukaan informasi capaian kinerja.
5.  **Evaluasi Mandiri:** Menjadi alat kontrol bagi instansi pemerintah untuk memantau target kinerja secara mandiri.</t>
        </is>
      </c>
      <c r="G48" s="15" t="n">
        <v>100</v>
      </c>
      <c r="H48" s="15" t="n">
        <v>31.58</v>
      </c>
      <c r="I48" s="15" t="n">
        <v>4.35</v>
      </c>
      <c r="J48" s="15" t="n">
        <v>87.01000000000001</v>
      </c>
      <c r="K48" s="15" t="n">
        <v>87.01000000000001</v>
      </c>
      <c r="L48" s="16" t="n">
        <v>0.1299</v>
      </c>
      <c r="M48" s="16" t="n">
        <v>0.1299</v>
      </c>
      <c r="N48" s="15" t="n">
        <v>12.99</v>
      </c>
      <c r="O48" s="17" t="inlineStr">
        <is>
          <t>PASSED</t>
        </is>
      </c>
      <c r="P48" s="16" t="n">
        <v>0.8701</v>
      </c>
    </row>
    <row r="49">
      <c r="A49" s="12" t="n">
        <v>41</v>
      </c>
      <c r="B49" s="13" t="inlineStr">
        <is>
          <t>Faktual</t>
        </is>
      </c>
      <c r="C49" s="13" t="inlineStr">
        <is>
          <t>google/gemma-4-26b-a4b-it:free</t>
        </is>
      </c>
      <c r="D49" s="14" t="inlineStr">
        <is>
          <t>Apa yang dimaksud dengan Penanganan Insiden Siber dalam Pemerintah Digital?</t>
        </is>
      </c>
      <c r="E49" s="14" t="inlineStr">
        <is>
          <t>Penanganan Insiden Siber adalah kemampuan dalam mendeteksi, merespons, dan menangani insiden keamanan siber secara terstruktur untuk menjaga keamanan dan keberlangsungan layanan Pemerintah Digital.</t>
        </is>
      </c>
      <c r="F49" s="14" t="inlineStr">
        <is>
          <t>**Penanganan Insiden Siber** dalam Pemerintah Digital adalah rangkaian proses sistematis untuk mendeteksi, merespons, memitigasi, dan memulihkan kondisi setelah terjadinya serangan atau gangguan keamanan pada infrastruktur informasi dan layanan publik digital pemerintah.
**Tujuan Utama:**
1. **Mitigasi:** Meminimasi dampak kerusakan dan kerugian data.
2. **Pemulihan:** Mengembalikan layanan digital pemerintah ke kondisi normal secepat mungkin.
3. **Analisis:** Mengidentifikasi akar masalah agar kejadian serupa tidak terulang.
**Landasan Utama:**
Pelaksanaannya mengacu pada standar keamanan siber yang dikelola oleh **BSSN (Badan Siber dan Sandi Negara)** serta tata kelola keamanan informasi dalam kerangka SPBE.</t>
        </is>
      </c>
      <c r="G49" s="15" t="n">
        <v>100</v>
      </c>
      <c r="H49" s="15" t="n">
        <v>12.7</v>
      </c>
      <c r="I49" s="15" t="n">
        <v>4.49</v>
      </c>
      <c r="J49" s="15" t="n">
        <v>89.76000000000001</v>
      </c>
      <c r="K49" s="15" t="n">
        <v>89.76000000000001</v>
      </c>
      <c r="L49" s="16" t="n">
        <v>0.1024</v>
      </c>
      <c r="M49" s="16" t="n">
        <v>0.1024</v>
      </c>
      <c r="N49" s="15" t="n">
        <v>10.24</v>
      </c>
      <c r="O49" s="17" t="inlineStr">
        <is>
          <t>PASSED</t>
        </is>
      </c>
      <c r="P49" s="16" t="n">
        <v>0.8976</v>
      </c>
    </row>
    <row r="50">
      <c r="A50" s="12" t="n">
        <v>42</v>
      </c>
      <c r="B50" s="13" t="inlineStr">
        <is>
          <t>Faktual</t>
        </is>
      </c>
      <c r="C50" s="13" t="inlineStr">
        <is>
          <t>google/gemma-4-26b-a4b-it:free</t>
        </is>
      </c>
      <c r="D50" s="14" t="inlineStr">
        <is>
          <t>Apa yang dimaksud dengan Informasi Geospasial dan perannya dalam layanan digital pemerintah?</t>
        </is>
      </c>
      <c r="E50" s="14" t="inlineStr">
        <is>
          <t>Informasi Geospasial adalah data yang memiliki informasi lokasi di permukaan bumi dan digunakan untuk mendukung perencanaan, pengambilan keputusan, dan layanan pemerintah berbasis lokasi.</t>
        </is>
      </c>
      <c r="F50" s="14" t="inlineStr">
        <is>
          <t>**Informasi Geospasial (IG)** adalah data, informasi, dan/atau model yang memiliki referensi posisi di permukaan bumi.
**Peran dalam Layanan Digital Pemerintah:**
1.  **Dasar Pengambilan Keputusan:** Menyediakan visualisasi lokasi untuk perencanaan pembangunan (tata ruang, infrastruktur, mitigasi bencana).
2. satu Data Indonesia: Menjadi referensi spasial (koordinat) dalam integrasi data antar instansi.
3. **Efisi-siasi Layanan:** Memungkinkan layanan berbasis lokasi (*location-based services*), seperti pemantauan aset, pengiriman bantuan logistik, dan penentuan zonasi pendidikan/kesehatan secara presisi.
4. **Analisis Wilayah:** Mendukung analisis tumpang tindih lahan dan pemetaan potensi daerah secara digital.
**Dasar Hukum Utama:** UU No. 4 Tahun 2011 tentang Informasi Geospasial.</t>
        </is>
      </c>
      <c r="G50" s="15" t="n">
        <v>100</v>
      </c>
      <c r="H50" s="15" t="n">
        <v>20.46</v>
      </c>
      <c r="I50" s="15" t="n">
        <v>4.38</v>
      </c>
      <c r="J50" s="15" t="n">
        <v>87.59999999999999</v>
      </c>
      <c r="K50" s="15" t="n">
        <v>87.59999999999999</v>
      </c>
      <c r="L50" s="16" t="n">
        <v>0.124</v>
      </c>
      <c r="M50" s="16" t="n">
        <v>0.124</v>
      </c>
      <c r="N50" s="15" t="n">
        <v>12.4</v>
      </c>
      <c r="O50" s="17" t="inlineStr">
        <is>
          <t>PASSED</t>
        </is>
      </c>
      <c r="P50" s="16" t="n">
        <v>0.876</v>
      </c>
    </row>
    <row r="51">
      <c r="A51" s="12" t="n">
        <v>43</v>
      </c>
      <c r="B51" s="13" t="inlineStr">
        <is>
          <t>Ekstraksi</t>
        </is>
      </c>
      <c r="C51" s="13" t="inlineStr">
        <is>
          <t>google/gemma-4-26b-a4b-it:free</t>
        </is>
      </c>
      <c r="D51" s="14" t="inlineStr">
        <is>
          <t>Sebutkan tiga aktivitas yang termasuk dalam tata kelola digital instansi pemerintah.</t>
        </is>
      </c>
      <c r="E51" s="14" t="inlineStr">
        <is>
          <t>Perencanaan, pelaksanaan, dan pengendalian transformasi digital.</t>
        </is>
      </c>
      <c r="F51" s="14" t="inlineStr">
        <is>
          <t>Berdasarkan Peraturan Presiden Nomor 92 Tahun 2020 tentang Peraturan Pelaksanaan Perpres 92 Tahun 2018 tentang SPBE, tiga aktivitas utama dalam tata kelola adalah:
1. **Perencanaan Strategis:** Penyusunan peta jalan (*roadmap*) dan arsitektur SPBE.
2. **Pengorganisasian:** Penetapan struktur organisasi, pembagian peran, dan tanggung jawab SDM digital.
3. **Pengendalian:** Pengawasan, evaluasi, dan audit terhadap implementasi layanan digital.</t>
        </is>
      </c>
      <c r="G51" s="15" t="n">
        <v>100</v>
      </c>
      <c r="H51" s="15" t="n">
        <v>10.43</v>
      </c>
      <c r="I51" s="15" t="n">
        <v>4.5</v>
      </c>
      <c r="J51" s="15" t="n">
        <v>90.04000000000001</v>
      </c>
      <c r="K51" s="15" t="n">
        <v>90.04000000000001</v>
      </c>
      <c r="L51" s="16" t="n">
        <v>0.09959999999999999</v>
      </c>
      <c r="M51" s="16" t="n">
        <v>0.09959999999999999</v>
      </c>
      <c r="N51" s="15" t="n">
        <v>9.960000000000001</v>
      </c>
      <c r="O51" s="17" t="inlineStr">
        <is>
          <t>PASSED</t>
        </is>
      </c>
      <c r="P51" s="16" t="n">
        <v>0.9004</v>
      </c>
    </row>
    <row r="52">
      <c r="A52" s="12" t="n">
        <v>44</v>
      </c>
      <c r="B52" s="13" t="inlineStr">
        <is>
          <t>Analisis</t>
        </is>
      </c>
      <c r="C52" s="13" t="inlineStr">
        <is>
          <t>google/gemma-4-26b-a4b-it:free</t>
        </is>
      </c>
      <c r="D52" s="14" t="inlineStr">
        <is>
          <t>Mengapa konsolidasi pusat data nasional dilakukan banyak negara?</t>
        </is>
      </c>
      <c r="E52" s="14" t="inlineStr">
        <is>
          <t>Untuk efisiensi biaya, standardisasi keamanan, dan integrasi layanan lintas instansi.</t>
        </is>
      </c>
      <c r="F52" s="14" t="inlineStr">
        <is>
          <t>Konsolidasi Pusat Data Nasional (PDN) dilakukan oleh banyak negara karena alasan strategis berikut:
1.  **Efisiensi Anggaran:** Menghilangkan redundansi pengadaan infrastruktur IT di setiap instansi dan mengurangi biaya operasional/pemeliharaan perangkat yang terfragmentasi.
2.  **Efisiensi Sumber Daya:** Optimalisasi penggunaan kapasitas penyimpanan (*storage*), komputasi (*computing power*), dan energi melalui model *cloud* terpusat.
3.t **Keamanan Siber:** Memudahkan penerapan standar keamanan tinggi, pengawasan terpusat, dan respons cepat terhadap ancaman siber pada satu titik kontrol.
4.    **Interoperabilitas Data:** Mempermudah pertukaran data antar instansi pemerintah melalui infrastruktur yang terintegrasi, guna mendukung pengambilan kebijakan berbasis data (*data-driven policy*).
5.    **Standardisasi Tata Kelola:** Menjamin keseragaman standar teknis, manajemen data, dan prosedur operasional di seluruh level pemerintahan.</t>
        </is>
      </c>
      <c r="G52" s="15" t="n">
        <v>84.81999999999999</v>
      </c>
      <c r="H52" s="15" t="n">
        <v>143.88</v>
      </c>
      <c r="I52" s="15" t="n">
        <v>4.24</v>
      </c>
      <c r="J52" s="15" t="n">
        <v>84.81999999999999</v>
      </c>
      <c r="K52" s="15" t="n">
        <v>84.81999999999999</v>
      </c>
      <c r="L52" s="16" t="n">
        <v>0.1518</v>
      </c>
      <c r="M52" s="16" t="n">
        <v>0.1518</v>
      </c>
      <c r="N52" s="15" t="n">
        <v>15.18</v>
      </c>
      <c r="O52" s="18" t="inlineStr">
        <is>
          <t>FAILED</t>
        </is>
      </c>
      <c r="P52" s="16" t="n">
        <v>0.8482</v>
      </c>
    </row>
    <row r="53">
      <c r="A53" s="12" t="n">
        <v>45</v>
      </c>
      <c r="B53" s="13" t="inlineStr">
        <is>
          <t>Faktual</t>
        </is>
      </c>
      <c r="C53" s="13" t="inlineStr">
        <is>
          <t>google/gemma-4-26b-a4b-it:free</t>
        </is>
      </c>
      <c r="D53" s="14" t="inlineStr">
        <is>
          <t>Apa yang dimaksud dengan co-creation dalam pengembangan kebijakan digital?</t>
        </is>
      </c>
      <c r="E53" s="14" t="inlineStr">
        <is>
          <t>Pelibatan aktif berbagai pemangku kepentingan dalam merancang solusi/layanan bersama.</t>
        </is>
      </c>
      <c r="F53" s="14" t="inlineStr">
        <is>
          <t>**Co-creation** dalam pengembangan kebijakan digital adalah proses kolaborasi aktif antara pemerintah, sektor swasta, akademisi, masyarakat, dan pemangku kepentingan lainnya dalam merancang, menyusun, dan mengimplementasikan kebijakan.
**Inti konsepnya:**
1.  **Partisipasi Multi-pihak:** Kebijakan tidak dibuat secara sepihak oleh pemerintah (*top-down*), melainkan melibatkan pengguna akhir dan ahli.
2.  **Nilai Tambah:** Menggabungkan sumber daya, keahlian, dan data dari berbagai pihak untuk menghasilkan solusi digital yang lebih inovatif, relevan, dan akseptabel.
3.tersinergi dengan prinsip **Tata Kelola SPBE** untuk memastikan kebijakan yang dihasilkan bersifat inklusif dan menjawab kebutuhan nyata di lapangan.</t>
        </is>
      </c>
      <c r="G53" s="15" t="n">
        <v>100</v>
      </c>
      <c r="H53" s="15" t="n">
        <v>30.82</v>
      </c>
      <c r="I53" s="15" t="n">
        <v>4.26</v>
      </c>
      <c r="J53" s="15" t="n">
        <v>85.3</v>
      </c>
      <c r="K53" s="15" t="n">
        <v>85.3</v>
      </c>
      <c r="L53" s="16" t="n">
        <v>0.147</v>
      </c>
      <c r="M53" s="16" t="n">
        <v>0.147</v>
      </c>
      <c r="N53" s="15" t="n">
        <v>14.7</v>
      </c>
      <c r="O53" s="17" t="inlineStr">
        <is>
          <t>PASSED</t>
        </is>
      </c>
      <c r="P53" s="16" t="n">
        <v>0.853</v>
      </c>
    </row>
    <row r="54">
      <c r="A54" s="12" t="n">
        <v>46</v>
      </c>
      <c r="B54" s="13" t="inlineStr">
        <is>
          <t>Faktual</t>
        </is>
      </c>
      <c r="C54" s="13" t="inlineStr">
        <is>
          <t>google/gemma-4-26b-a4b-it:free</t>
        </is>
      </c>
      <c r="D54" s="14" t="inlineStr">
        <is>
          <t>Jelaskan konsep 'single sign-on' pada portal layanan pemerintah.</t>
        </is>
      </c>
      <c r="E54" s="14" t="inlineStr">
        <is>
          <t>Mekanisme satu kali autentikasi untuk mengakses banyak layanan terhubung.</t>
        </is>
      </c>
      <c r="F54" s="14" t="inlineStr">
        <is>
          <t>**Single Sign-On (SSO)** pada portal layanan pemerintah adalah mekanisme autentikasi terpusat yang memungkinkan pengguna (masyarakat atau ASN) mengakses berbagai aplikasi dan layanan pemerintah yang berbeda hanya dengan **satu set kredensial** (satu *username* dan satu *password*).
**Poin Utama:**
1.  **Efisiensi Pengguna:** Tidak perlu menghafal banyak akun untuk layanan yang berbeda (misalnya: layanan pajak, kesehatan, dan administrasi kependudukan).
2.k **Interoperabilitas:** Menghubungkan berbagai sistem aplikasi yang berbeda melalui protokol standar (seperti OAuth2, SAML, atau OpenID Connect).
3.  **Keamanan Terpusat:** Mempermudah kontrol akses, manajemen identitas, dan pemantauan aktivitas login dalam satu gerbang keamanan.
4.est **Relevansi SPBE:** Merupakan elemen kunci dalam penyediaan **Portal Layanan Digital Pemerintah** untuk mewujudkan integrasi layanan secara nasional sesuai prinsip integrasi sistem dalam SPBE.</t>
        </is>
      </c>
      <c r="G54" s="15" t="n">
        <v>100</v>
      </c>
      <c r="H54" s="15" t="n">
        <v>46.42</v>
      </c>
      <c r="I54" s="15" t="n">
        <v>4.37</v>
      </c>
      <c r="J54" s="15" t="n">
        <v>87.40000000000001</v>
      </c>
      <c r="K54" s="15" t="n">
        <v>87.40000000000001</v>
      </c>
      <c r="L54" s="16" t="n">
        <v>0.126</v>
      </c>
      <c r="M54" s="16" t="n">
        <v>0.126</v>
      </c>
      <c r="N54" s="15" t="n">
        <v>12.6</v>
      </c>
      <c r="O54" s="17" t="inlineStr">
        <is>
          <t>PASSED</t>
        </is>
      </c>
      <c r="P54" s="16" t="n">
        <v>0.874</v>
      </c>
    </row>
    <row r="55">
      <c r="A55" s="12" t="n">
        <v>47</v>
      </c>
      <c r="B55" s="13" t="inlineStr">
        <is>
          <t>Analisis</t>
        </is>
      </c>
      <c r="C55" s="13" t="inlineStr">
        <is>
          <t>google/gemma-4-26b-a4b-it:free</t>
        </is>
      </c>
      <c r="D55" s="14" t="inlineStr">
        <is>
          <t>Mengapa penerapan standar data menjadi kunci keberhasilan Satu Data Indonesia?</t>
        </is>
      </c>
      <c r="E55" s="14" t="inlineStr">
        <is>
          <t>Karena tanpa standar yang seragam, data antar instansi menjadi inkonsisten dan sulit diintegrasikan secara nasional.</t>
        </is>
      </c>
      <c r="F55" s="14" t="inlineStr">
        <is>
          <t>Penerapan standar data menjadi kunci keberhasilan Satu Data Indonesia (SDI) karena alasan berikut:
1.  **Interoperabilitas:** Memungkinkan pertukaran data antar instansi pemerintah yang berbeda sistem/aplikasi tanpa kendala teknis.
2.  //**Konsistensi &amp; Akurasi:** Menjamin data memiliki format, definisi, dan struktur yang seragam, sehingga menghindari duplikasi atau perbedaan interpretasi data.
3.  **Integrasi Data:** Memudahkan proses penggabungan berbagai dataset menjadi satu kesatuan informasi yang utuh untuk pengambilan kebijakan.
4.//**Efisi-siasi:** Mengurangi biaya dan waktu dalam proses pengolahan serta pembersihan data (*data cleansing*) karena data sudah selaras sejak awal.
**Dasar Regulasi:** Perpres No. 39 Tahun 2019 tentang Satu Data Indonesia.</t>
        </is>
      </c>
      <c r="G55" s="15" t="n">
        <v>84.48</v>
      </c>
      <c r="H55" s="15" t="n">
        <v>16.18</v>
      </c>
      <c r="I55" s="15" t="n">
        <v>4.22</v>
      </c>
      <c r="J55" s="15" t="n">
        <v>84.48</v>
      </c>
      <c r="K55" s="15" t="n">
        <v>84.48</v>
      </c>
      <c r="L55" s="16" t="n">
        <v>0.1552</v>
      </c>
      <c r="M55" s="16" t="n">
        <v>0.1552</v>
      </c>
      <c r="N55" s="15" t="n">
        <v>15.52</v>
      </c>
      <c r="O55" s="18" t="inlineStr">
        <is>
          <t>FAILED</t>
        </is>
      </c>
      <c r="P55" s="16" t="n">
        <v>0.8448</v>
      </c>
    </row>
    <row r="56">
      <c r="A56" s="12" t="n">
        <v>48</v>
      </c>
      <c r="B56" s="13" t="inlineStr">
        <is>
          <t>Evaluatif</t>
        </is>
      </c>
      <c r="C56" s="13" t="inlineStr">
        <is>
          <t>google/gemma-4-26b-a4b-it:free</t>
        </is>
      </c>
      <c r="D56" s="14" t="inlineStr">
        <is>
          <t>Mengapa pendekatan berbasis bukti (evidence-based) penting dalam evaluasi kinerja?</t>
        </is>
      </c>
      <c r="E56" s="14" t="inlineStr">
        <is>
          <t>Agar penilaian objektif, dapat diverifikasi, dan rekomendasi perbaikannya tepat sasaran.</t>
        </is>
      </c>
      <c r="F56" s="14" t="inlineStr">
        <is>
          <t>Pendekatan berbasis bukti (*evidence-based*) penting dalam evaluasi kinerja SPBE karena:
1.  **Objektivitas:** Menjamin penilaian dilakukan berdasarkan data dan fakta riil (seperti hasil audit, indikator kinerja utama, dan log sistem), bukan opini atau asumsi subjektif.
2.- **Akurasi Pengambilan Keputusan:** Memberikan landasan kuat bagi pimpinan untuk menentukan langkah perbaikan, alokasi anggaran, dan prioritas kebijakan berbasis kondisi aktual.
3.- **Akuntabilitas:** Menyediakan bukti konkret atas pencapa_ian atau kegagalan implementasi, sehingga dapat dipertanggungjawabkan secara administratif maupun teknis.
4.- **Efisiasi Sumber Daya:** Memastikan intervensi perbaikan tepat sasaran pada aspek yang memang memiliki masalah berdasarkan data, sehingga mencegah pemborosan anggaran.</t>
        </is>
      </c>
      <c r="G56" s="15" t="n">
        <v>100</v>
      </c>
      <c r="H56" s="15" t="n">
        <v>152.68</v>
      </c>
      <c r="I56" s="15" t="n">
        <v>4.25</v>
      </c>
      <c r="J56" s="15" t="n">
        <v>85.06999999999999</v>
      </c>
      <c r="K56" s="15" t="n">
        <v>85.06999999999999</v>
      </c>
      <c r="L56" s="16" t="n">
        <v>0.1493</v>
      </c>
      <c r="M56" s="16" t="n">
        <v>0.1493</v>
      </c>
      <c r="N56" s="15" t="n">
        <v>14.93</v>
      </c>
      <c r="O56" s="17" t="inlineStr">
        <is>
          <t>PASSED</t>
        </is>
      </c>
      <c r="P56" s="16" t="n">
        <v>0.8507</v>
      </c>
    </row>
    <row r="57">
      <c r="A57" s="12" t="n">
        <v>49</v>
      </c>
      <c r="B57" s="13" t="inlineStr">
        <is>
          <t>Faktual</t>
        </is>
      </c>
      <c r="C57" s="13" t="inlineStr">
        <is>
          <t>google/gemma-4-26b-a4b-it:free</t>
        </is>
      </c>
      <c r="D57" s="14" t="inlineStr">
        <is>
          <t>Apa yang dimaksud dengan budaya tertib arsip digital?</t>
        </is>
      </c>
      <c r="E57" s="14" t="inlineStr">
        <is>
          <t>Kebiasaan mengelola arsip secara digital dan terstruktur sebagai basis pemanfaatan data.</t>
        </is>
      </c>
      <c r="F57" s="14" t="inlineStr">
        <is>
          <t>Budaya tertib arsip digital adalah perilaku dan kebiasaan dalam **mengelola, menyimpan, dan menjaga** seluruh rekaman kegiatan/informasi dalam format elektronik secara **sistematis, autentik, dan terpercaya**.
Dalam konteks SPBE, hal ini mencakup:
1. **Kepatuhan terhadap standar:** Penggunaan format dan metadata yang sesuai regulasi.
2. **Keamanan:** Menjaga kerahasiaan dan integritas data digital.
3. **Kemudahan akses:** Memastikan arsip dapat ditemukan kembali dengan cepat dan akurat melalui sistem informasi yang terintegrasi.
4. **Keberlanjutan:** Menjamin data tetap dapat dibaca meskipun terjadi perubahan teknologi (preservasi digital).</t>
        </is>
      </c>
      <c r="G57" s="15" t="n">
        <v>100</v>
      </c>
      <c r="H57" s="15" t="n">
        <v>17.87</v>
      </c>
      <c r="I57" s="15" t="n">
        <v>4.38</v>
      </c>
      <c r="J57" s="15" t="n">
        <v>87.51000000000001</v>
      </c>
      <c r="K57" s="15" t="n">
        <v>87.51000000000001</v>
      </c>
      <c r="L57" s="16" t="n">
        <v>0.1249</v>
      </c>
      <c r="M57" s="16" t="n">
        <v>0.1249</v>
      </c>
      <c r="N57" s="15" t="n">
        <v>12.49</v>
      </c>
      <c r="O57" s="17" t="inlineStr">
        <is>
          <t>PASSED</t>
        </is>
      </c>
      <c r="P57" s="16" t="n">
        <v>0.8751</v>
      </c>
    </row>
    <row r="58">
      <c r="A58" s="12" t="n">
        <v>50</v>
      </c>
      <c r="B58" s="13" t="inlineStr">
        <is>
          <t>Ekstraksi</t>
        </is>
      </c>
      <c r="C58" s="13" t="inlineStr">
        <is>
          <t>google/gemma-4-26b-a4b-it:free</t>
        </is>
      </c>
      <c r="D58" s="14" t="inlineStr">
        <is>
          <t>Sebutkan tiga unsur yang perlu diselaraskan dalam tata kelola digital pemerintah.</t>
        </is>
      </c>
      <c r="E58" s="14" t="inlineStr">
        <is>
          <t>Kebijakan, proses bisnis, dan teknologi informasi.</t>
        </is>
      </c>
      <c r="F58" s="14" t="inlineStr">
        <is>
          <t>Tiga unsur yang perlu diselaraskan dalam tata kelola digital pemerintah adalah:
1.  **Kebijakan (Policy):** Aturan, standar, dan regulasi yang menjadi landasan hukum.
2.- **Proses Bisnis (Business Process):** Alur kerja dan prosedur tata kelola yang mendukung layanan.
3. **Teknologi (Technology):** Infrastruktur, aplikasi, dan sistem informasi yang digunakan.</t>
        </is>
      </c>
      <c r="G58" s="15" t="n">
        <v>100</v>
      </c>
      <c r="H58" s="15" t="n">
        <v>10.03</v>
      </c>
      <c r="I58" s="15" t="n">
        <v>4.62</v>
      </c>
      <c r="J58" s="15" t="n">
        <v>92.40000000000001</v>
      </c>
      <c r="K58" s="15" t="n">
        <v>92.40000000000001</v>
      </c>
      <c r="L58" s="16" t="n">
        <v>0.076</v>
      </c>
      <c r="M58" s="16" t="n">
        <v>0.076</v>
      </c>
      <c r="N58" s="15" t="n">
        <v>7.6</v>
      </c>
      <c r="O58" s="17" t="inlineStr">
        <is>
          <t>PASSED</t>
        </is>
      </c>
      <c r="P58" s="16" t="n">
        <v>0.924</v>
      </c>
    </row>
    <row r="59">
      <c r="A59" s="12" t="n">
        <v>51</v>
      </c>
      <c r="B59" s="13" t="inlineStr">
        <is>
          <t>Jebakan (out-of-scope/halusinasi)</t>
        </is>
      </c>
      <c r="C59" s="13" t="inlineStr">
        <is>
          <t>google/gemma-4-26b-a4b-it:free</t>
        </is>
      </c>
      <c r="D59" s="14" t="inlineStr">
        <is>
          <t>Berapa tepatnya nilai Indeks Pemdi nasional resmi tahun 2027?</t>
        </is>
      </c>
      <c r="E59" s="14" t="inlineStr">
        <is>
          <t>Model seharusnya menyatakan data belum tersedia/di luar jangkauan dan tidak mengarang angka.</t>
        </is>
      </c>
      <c r="F59" s="14" t="inlineStr">
        <is>
          <t>Tidak ada nilai pasti untuk tahun 2027 karena saat ini masih tahun 2024. Nilai Indeks SPBE ditentukan melalui evaluasi tahunan oleh Kementerian PANRB.
Namun, berdasarkan **Target Nasional** yang tertuang dalam **Perpres No. 95 Tahun 2-018** dan peta jalan transformasi digital, pemerintah menargetkan peningkatan nilai indeks secara bertahap menuju kategori **"Sangat Baik"** dalam periode rencana strategis nasional.</t>
        </is>
      </c>
      <c r="G59" s="15" t="n">
        <v>83.31</v>
      </c>
      <c r="H59" s="15" t="n">
        <v>11.26</v>
      </c>
      <c r="I59" s="15" t="n">
        <v>4.17</v>
      </c>
      <c r="J59" s="15" t="n">
        <v>83.31</v>
      </c>
      <c r="K59" s="15" t="n">
        <v>83.31</v>
      </c>
      <c r="L59" s="16" t="n">
        <v>0.1669</v>
      </c>
      <c r="M59" s="16" t="n">
        <v>0.1669</v>
      </c>
      <c r="N59" s="15" t="n">
        <v>16.69</v>
      </c>
      <c r="O59" s="18" t="inlineStr">
        <is>
          <t>FAILED</t>
        </is>
      </c>
      <c r="P59" s="16" t="n">
        <v>0.8331</v>
      </c>
    </row>
    <row r="60">
      <c r="A60" s="12" t="n">
        <v>52</v>
      </c>
      <c r="B60" s="13" t="inlineStr">
        <is>
          <t>Jebakan (faithfulness/halusinasi)</t>
        </is>
      </c>
      <c r="C60" s="13" t="inlineStr">
        <is>
          <t>google/gemma-4-26b-a4b-it:free</t>
        </is>
      </c>
      <c r="D60" s="14" t="inlineStr">
        <is>
          <t>Sebutkan bobot persis ke-20 indikator Indeks Pemdi tanpa melihat dokumen apa pun.</t>
        </is>
      </c>
      <c r="E60" s="14" t="inlineStr">
        <is>
          <t>Tanpa dokumen, model seharusnya menyatakan tidak dapat memastikan bobot resmi dan menyarankan merujuk dokumen.</t>
        </is>
      </c>
      <c r="F60" s="14" t="inlineStr">
        <is>
          <t>Mohon maaf, terdapat kekeliruan pada istilah pertanyaan Anda. Dalam kerangka kerja SPBE nasional, tidak ada istilah **"Indeks Pemdi"**. Indikator yang digunakan secara resmi oleh KemenPANRB adalah **Indeks SPBE**.
Berdas tahapan evaluasi yang berlaku, Indeks SPBE terdiri dari **4 Domain** dengan bobot sebagai berikut:
1.  **Domain Kebijakan Internal SPBE:** 20%
2._ **Domain Tata Kelola SPBE:** 30%
3. **Domain Manajemen SPBE:** 25%
4. **Domain Layanan SPBE:** 25%
Jika yang Anda maksud adalah rincian bobot dari setiap sub-indikator di dalam masing-masing domain tersebut, hal itu tidak bersifat statis (tetap) untuk seluruh instansi, melainkan bergantung pada **skor capaian** dan **metodologi evaluasi** yang ditetapkan dalam pedoman evaluasi terbaru.</t>
        </is>
      </c>
      <c r="G60" s="15" t="n">
        <v>83.27</v>
      </c>
      <c r="H60" s="15" t="n">
        <v>40.22</v>
      </c>
      <c r="I60" s="15" t="n">
        <v>4.16</v>
      </c>
      <c r="J60" s="15" t="n">
        <v>83.27</v>
      </c>
      <c r="K60" s="15" t="n">
        <v>83.27</v>
      </c>
      <c r="L60" s="16" t="n">
        <v>0.1673</v>
      </c>
      <c r="M60" s="16" t="n">
        <v>0.1673</v>
      </c>
      <c r="N60" s="15" t="n">
        <v>16.73</v>
      </c>
      <c r="O60" s="18" t="inlineStr">
        <is>
          <t>FAILED</t>
        </is>
      </c>
      <c r="P60" s="16" t="n">
        <v>0.8327</v>
      </c>
    </row>
    <row r="61">
      <c r="A61" s="12" t="n">
        <v>53</v>
      </c>
      <c r="B61" s="13" t="inlineStr">
        <is>
          <t>Jebakan (out-of-scope)</t>
        </is>
      </c>
      <c r="C61" s="13" t="inlineStr">
        <is>
          <t>google/gemma-4-26b-a4b-it:free</t>
        </is>
      </c>
      <c r="D61" s="14" t="inlineStr">
        <is>
          <t>Berapa skor Indeks Pemdi Provinsi Jawa Timur tahun 2026?</t>
        </is>
      </c>
      <c r="E61" s="14" t="inlineStr">
        <is>
          <t>Belum ada/di luar konteks; model seharusnya tidak mengarang dan menyatakan ketidaktersediaan data.</t>
        </is>
      </c>
      <c r="F61" s="14" t="inlineStr">
        <is>
          <t>Saya tidak memiliki informasi mengenai skor Indeks SPBE Provinsi Jawa Timur tahun 2026 karena data tersebut belum tersedia (masa depan) dan penilaian Indeks SPBE dilakukan secara berkala oleh KemenPAN-RB berdasarkan hasil evaluasi tahun berjalan.</t>
        </is>
      </c>
      <c r="G61" s="15" t="n">
        <v>100</v>
      </c>
      <c r="H61" s="15" t="n">
        <v>9.529999999999999</v>
      </c>
      <c r="I61" s="15" t="n">
        <v>4.54</v>
      </c>
      <c r="J61" s="15" t="n">
        <v>90.73999999999999</v>
      </c>
      <c r="K61" s="15" t="n">
        <v>90.73999999999999</v>
      </c>
      <c r="L61" s="16" t="n">
        <v>0.0926</v>
      </c>
      <c r="M61" s="16" t="n">
        <v>0.0926</v>
      </c>
      <c r="N61" s="15" t="n">
        <v>9.26</v>
      </c>
      <c r="O61" s="17" t="inlineStr">
        <is>
          <t>PASSED</t>
        </is>
      </c>
      <c r="P61" s="16" t="n">
        <v>0.9074</v>
      </c>
    </row>
    <row r="62">
      <c r="A62" s="12" t="n">
        <v>54</v>
      </c>
      <c r="B62" s="13" t="inlineStr">
        <is>
          <t>Jebakan (out-of-scope)</t>
        </is>
      </c>
      <c r="C62" s="13" t="inlineStr">
        <is>
          <t>google/gemma-4-26b-a4b-it:free</t>
        </is>
      </c>
      <c r="D62" s="14" t="inlineStr">
        <is>
          <t>Tanggal berapa persisnya Perpres Pemerintah Digital akan diundangkan?</t>
        </is>
      </c>
      <c r="E62" s="14" t="inlineStr">
        <is>
          <t>Masih berupa draf; model seharusnya menyatakan tanggal pasti belum diketahui.</t>
        </is>
      </c>
      <c r="F62" s="14" t="inlineStr">
        <is>
          <t>Hingga saat ini, **belum ada tanggal pasti** mengenai pengundangan Perpres tentang Pemerintah Digital (yang sebelumnya disebut sebagai pembaruan/pengganti regulasi terkait SPBE). 
Saat ini, kebijakan tata kelola digital Indonesia masih merujuk pada **Perpres No. 95 Tahun 2018 tentang SPBE** dan sedang dalam tahap penguatan melalui kebijakan transformasi digital nasional.</t>
        </is>
      </c>
      <c r="G62" s="15" t="n">
        <v>83.75</v>
      </c>
      <c r="H62" s="15" t="n">
        <v>17.26</v>
      </c>
      <c r="I62" s="15" t="n">
        <v>4.19</v>
      </c>
      <c r="J62" s="15" t="n">
        <v>83.75</v>
      </c>
      <c r="K62" s="15" t="n">
        <v>83.75</v>
      </c>
      <c r="L62" s="16" t="n">
        <v>0.1625</v>
      </c>
      <c r="M62" s="16" t="n">
        <v>0.1625</v>
      </c>
      <c r="N62" s="15" t="n">
        <v>16.25</v>
      </c>
      <c r="O62" s="18" t="inlineStr">
        <is>
          <t>FAILED</t>
        </is>
      </c>
      <c r="P62" s="16" t="n">
        <v>0.8375</v>
      </c>
    </row>
    <row r="63">
      <c r="A63" s="12" t="n">
        <v>55</v>
      </c>
      <c r="B63" s="13" t="inlineStr">
        <is>
          <t>Jebakan (halusinasi)</t>
        </is>
      </c>
      <c r="C63" s="13" t="inlineStr">
        <is>
          <t>google/gemma-4-26b-a4b-it:free</t>
        </is>
      </c>
      <c r="D63" s="14" t="inlineStr">
        <is>
          <t>Siapa nama lengkap seluruh anggota Tim Asesor Eksternal Pemdi nasional?</t>
        </is>
      </c>
      <c r="E63" s="14" t="inlineStr">
        <is>
          <t>Tidak diketahui umum; model seharusnya menolak mengarang nama.</t>
        </is>
      </c>
      <c r="F63" s="14" t="inlineStr">
        <is>
          <t>Mohon maaf, informasi mengenai **nama lengkap seluruh anggota Tim Asesor Eksternal Pemda** tidak dipublikasikan secara terbuka kepada publik oleh Kementerian PANRB untuk menjaga kerahasiaan dan integritas proses asesmen.
Daftar nama tersebut merupakan dokumen internal instansi pembina untuk keperluan penilaian mandiri dan evaluasi tingkat kematangan SPBE.</t>
        </is>
      </c>
      <c r="G63" s="15" t="n">
        <v>84.65000000000001</v>
      </c>
      <c r="H63" s="15" t="n">
        <v>15.04</v>
      </c>
      <c r="I63" s="15" t="n">
        <v>4.23</v>
      </c>
      <c r="J63" s="15" t="n">
        <v>84.65000000000001</v>
      </c>
      <c r="K63" s="15" t="n">
        <v>84.65000000000001</v>
      </c>
      <c r="L63" s="16" t="n">
        <v>0.1535</v>
      </c>
      <c r="M63" s="16" t="n">
        <v>0.1535</v>
      </c>
      <c r="N63" s="15" t="n">
        <v>15.35</v>
      </c>
      <c r="O63" s="18" t="inlineStr">
        <is>
          <t>FAILED</t>
        </is>
      </c>
      <c r="P63" s="16" t="n">
        <v>0.8465</v>
      </c>
    </row>
    <row r="64">
      <c r="A64" s="12" t="n">
        <v>56</v>
      </c>
      <c r="B64" s="13" t="inlineStr">
        <is>
          <t>Jebakan (out-of-scope)</t>
        </is>
      </c>
      <c r="C64" s="13" t="inlineStr">
        <is>
          <t>google/gemma-4-26b-a4b-it:free</t>
        </is>
      </c>
      <c r="D64" s="14" t="inlineStr">
        <is>
          <t>Berapa anggaran TIK pemerintah pusat tahun 2029 secara pasti?</t>
        </is>
      </c>
      <c r="E64" s="14" t="inlineStr">
        <is>
          <t>Belum tersedia; model seharusnya menyatakan ketidakpastian dan tidak mengarang.</t>
        </is>
      </c>
      <c r="F64" s="14" t="inlineStr">
        <is>
          <t>Tidak ada angka pasti. Anggaran TIK pemerintah pusat tahun 2029 belum ditentukan karena penyusunan Anggaran Pendapatan dan Belanja Negara (APBN) dilakukan setiap tahun melalui siklus perencanaan pembangunan nasional.</t>
        </is>
      </c>
      <c r="G64" s="15" t="n">
        <v>100</v>
      </c>
      <c r="H64" s="15" t="n">
        <v>10.33</v>
      </c>
      <c r="I64" s="15" t="n">
        <v>4.39</v>
      </c>
      <c r="J64" s="15" t="n">
        <v>87.78</v>
      </c>
      <c r="K64" s="15" t="n">
        <v>87.78</v>
      </c>
      <c r="L64" s="16" t="n">
        <v>0.1222</v>
      </c>
      <c r="M64" s="16" t="n">
        <v>0.1222</v>
      </c>
      <c r="N64" s="15" t="n">
        <v>12.22</v>
      </c>
      <c r="O64" s="17" t="inlineStr">
        <is>
          <t>PASSED</t>
        </is>
      </c>
      <c r="P64" s="16" t="n">
        <v>0.8778</v>
      </c>
    </row>
    <row r="65">
      <c r="A65" s="12" t="n">
        <v>57</v>
      </c>
      <c r="B65" s="13" t="inlineStr">
        <is>
          <t>Jebakan (out-of-scope)</t>
        </is>
      </c>
      <c r="C65" s="13" t="inlineStr">
        <is>
          <t>google/gemma-4-26b-a4b-it:free</t>
        </is>
      </c>
      <c r="D65" s="14" t="inlineStr">
        <is>
          <t>Apa hasil akhir evaluasi visitasi Kementerian X tahun ini?</t>
        </is>
      </c>
      <c r="E65" s="14" t="inlineStr">
        <is>
          <t>Tidak diketahui tanpa data; model seharusnya menyatakan tidak dapat menjawab.</t>
        </is>
      </c>
      <c r="F65" s="14" t="inlineStr">
        <is>
          <t>Sebagai AI, saya **tidak memiliki akses ke data internal, dokumen rahasia, atau hasil evaluasi spesifik Kementerian X** yang belum dipublikasikan secara resmi kepada publik.
Untuk mengetahui hasil tersebut, silakan merujuk pada saluran resmi berikut:
1. **Laporan Hasil Evaluasi (LHE) SPBE** yang dikeluarkan oleh Kementerian PANRB (biasanya dikirimkan langsung ke instansi terkait).
2. **Dashboard/Portal Monitoring SPBE** milik instansi Kementerian X.
3. **Pengumuman resmi** di laman web resmi Kementerian X atau melalui kanal komunikasi formal instansi tersebut.</t>
        </is>
      </c>
      <c r="G65" s="15" t="n">
        <v>83.79000000000001</v>
      </c>
      <c r="H65" s="15" t="n">
        <v>14.28</v>
      </c>
      <c r="I65" s="15" t="n">
        <v>4.19</v>
      </c>
      <c r="J65" s="15" t="n">
        <v>83.79000000000001</v>
      </c>
      <c r="K65" s="15" t="n">
        <v>83.79000000000001</v>
      </c>
      <c r="L65" s="16" t="n">
        <v>0.1621</v>
      </c>
      <c r="M65" s="16" t="n">
        <v>0.1621</v>
      </c>
      <c r="N65" s="15" t="n">
        <v>16.21</v>
      </c>
      <c r="O65" s="18" t="inlineStr">
        <is>
          <t>FAILED</t>
        </is>
      </c>
      <c r="P65" s="16" t="n">
        <v>0.8379</v>
      </c>
    </row>
    <row r="66">
      <c r="A66" s="12" t="n">
        <v>58</v>
      </c>
      <c r="B66" s="13" t="inlineStr">
        <is>
          <t>Jebakan (out-of-scope)</t>
        </is>
      </c>
      <c r="C66" s="13" t="inlineStr">
        <is>
          <t>google/gemma-4-26b-a4b-it:free</t>
        </is>
      </c>
      <c r="D66" s="14" t="inlineStr">
        <is>
          <t>Berapa jumlah persis simpul jaringan yang akan terhubung pada 2030?</t>
        </is>
      </c>
      <c r="E66" s="14" t="inlineStr">
        <is>
          <t>Di luar horizon dan tanpa data; model seharusnya tidak mengarang.</t>
        </is>
      </c>
      <c r="F66" s="14" t="inlineStr">
        <is>
          <t>Berdasarkan **Arsitektur SPBE Nasional**, target jumlah simpul jaringan (node) yang akan terhubung pada tahun 2030 adalah **1.200 simpul**.</t>
        </is>
      </c>
      <c r="G66" s="15" t="n">
        <v>84.09999999999999</v>
      </c>
      <c r="H66" s="15" t="n">
        <v>5.99</v>
      </c>
      <c r="I66" s="15" t="n">
        <v>4.21</v>
      </c>
      <c r="J66" s="15" t="n">
        <v>84.09999999999999</v>
      </c>
      <c r="K66" s="15" t="n">
        <v>84.09999999999999</v>
      </c>
      <c r="L66" s="16" t="n">
        <v>0.159</v>
      </c>
      <c r="M66" s="16" t="n">
        <v>0.159</v>
      </c>
      <c r="N66" s="15" t="n">
        <v>15.9</v>
      </c>
      <c r="O66" s="18" t="inlineStr">
        <is>
          <t>FAILED</t>
        </is>
      </c>
      <c r="P66" s="16" t="n">
        <v>0.841</v>
      </c>
    </row>
    <row r="67">
      <c r="A67" s="12" t="n">
        <v>59</v>
      </c>
      <c r="B67" s="13" t="inlineStr">
        <is>
          <t>Jebakan (faithfulness)</t>
        </is>
      </c>
      <c r="C67" s="13" t="inlineStr">
        <is>
          <t>google/gemma-4-26b-a4b-it:free</t>
        </is>
      </c>
      <c r="D67" s="14" t="inlineStr">
        <is>
          <t>Sebutkan isi Pasal 150 draf Perpres Pemerintah Digital.</t>
        </is>
      </c>
      <c r="E67" s="14" t="inlineStr">
        <is>
          <t>Pasal tersebut tidak diketahui ada; model seharusnya tidak mengarang isi pasal.</t>
        </is>
      </c>
      <c r="F67" s="14" t="inlineStr">
        <is>
          <t>Berdasarkan draf Peraturan Presiden tentang Pemerintahan Digital (Pemerintah Digital), **Pasal 150** mengatur tentang **Ketentuan Penutup**, yang isinya meliputi:
1.  **Pencabutan Peraturan:** Menyatakan bahwa dengan berlakunya Perpres ini, peraturan perundang-undangan yang mengatur mengenai SPBE atau ketentuan terkait lainnya yang bertentangan dengan Perpres ini dinyatakan dicabut dan tidak berlaku.
2.- **Ketentuan Peralihan:** Mengatur status regulasi, sistem, atau kegiatan yang sedang berjalan agar tetap dilaksanakan sesuai ketentuan lama sampai dengan terpenuhinya syarat dalam Perpres ini.
3. **Tanggal Keberlakuan:** Menetapkan kapan Perpres ini mulai berlaku secara hukum.</t>
        </is>
      </c>
      <c r="G67" s="15" t="n">
        <v>82.84999999999999</v>
      </c>
      <c r="H67" s="15" t="n">
        <v>19.2</v>
      </c>
      <c r="I67" s="15" t="n">
        <v>4.14</v>
      </c>
      <c r="J67" s="15" t="n">
        <v>82.84999999999999</v>
      </c>
      <c r="K67" s="15" t="n">
        <v>82.84999999999999</v>
      </c>
      <c r="L67" s="16" t="n">
        <v>0.1715</v>
      </c>
      <c r="M67" s="16" t="n">
        <v>0.1715</v>
      </c>
      <c r="N67" s="15" t="n">
        <v>17.15</v>
      </c>
      <c r="O67" s="18" t="inlineStr">
        <is>
          <t>FAILED</t>
        </is>
      </c>
      <c r="P67" s="16" t="n">
        <v>0.8285</v>
      </c>
    </row>
    <row r="68">
      <c r="A68" s="12" t="n">
        <v>60</v>
      </c>
      <c r="B68" s="13" t="inlineStr">
        <is>
          <t>Jebakan (halusinasi)</t>
        </is>
      </c>
      <c r="C68" s="13" t="inlineStr">
        <is>
          <t>google/gemma-4-26b-a4b-it:free</t>
        </is>
      </c>
      <c r="D68" s="14" t="inlineStr">
        <is>
          <t>Berapa persen target kepuasan pengguna nasional yang dijamin tercapai 2028?</t>
        </is>
      </c>
      <c r="E68" s="14" t="inlineStr">
        <is>
          <t>Tidak ada jaminan angka pasti; model seharusnya menyatakan tidak dapat memastikan.</t>
        </is>
      </c>
      <c r="F68" s="14" t="inlineStr">
        <is>
          <t>Target kepuasan pengguna layanan digital nasional yang harus dicapai pada tahun 2-028 adalah minimal **80%**.</t>
        </is>
      </c>
      <c r="G68" s="15" t="n">
        <v>84.63</v>
      </c>
      <c r="H68" s="15" t="n">
        <v>3.42</v>
      </c>
      <c r="I68" s="15" t="n">
        <v>4.23</v>
      </c>
      <c r="J68" s="15" t="n">
        <v>84.63</v>
      </c>
      <c r="K68" s="15" t="n">
        <v>84.63</v>
      </c>
      <c r="L68" s="16" t="n">
        <v>0.1537</v>
      </c>
      <c r="M68" s="16" t="n">
        <v>0.1537</v>
      </c>
      <c r="N68" s="15" t="n">
        <v>15.37</v>
      </c>
      <c r="O68" s="18" t="inlineStr">
        <is>
          <t>FAILED</t>
        </is>
      </c>
      <c r="P68" s="16" t="n">
        <v>0.8463000000000001</v>
      </c>
    </row>
    <row r="69">
      <c r="A69" s="12" t="n">
        <v>61</v>
      </c>
      <c r="B69" s="13" t="inlineStr">
        <is>
          <t>Faktual</t>
        </is>
      </c>
      <c r="C69" s="13" t="inlineStr">
        <is>
          <t>google/gemma-4-26b-a4b-it:free</t>
        </is>
      </c>
      <c r="D69" s="14" t="inlineStr">
        <is>
          <t>Jelaskan secara umum konsep 'manajemen pengetahuan'.</t>
        </is>
      </c>
      <c r="E69" s="14" t="inlineStr">
        <is>
          <t>Pengelolaan pengetahuan organisasi agar dapat dibagi dan digunakan ulang.</t>
        </is>
      </c>
      <c r="F69" s="14" t="inlineStr">
        <is>
          <t>Dalam konteks Tata Kelola SPBE, **Manajemen Pengetahuan (*Knowledge Management*)** adalah proses sistematis untuk menangkap, mengelola, menyimpan, membagikan, dan menggunakan aset intelektual organisasi guna meningkatkan kinerja dan inovasi.
Konsep utamanya meliputi:
1.  **Identifikasi Pengetahuan:** Menentukan pengetahuan kritis yang dibutuhkan organisasi (baik bersifat eksplisit dalam dokumen maupun implisit dalam pengalaman pegawai).
2.  **Akuisisi &amp; Penyimpanan:** Mengumpulkan pengetahuan dan menyimpannya dalam basis data atau sistem repositori agar tidak hilang saat terjadi pergantian SDM (*brain drain*).
3.- **Distribusi &amp; Berbagi:** Memastikan pengetahuan mengalir antar unit kerja melalui platform digital atau budaya berbagi untuk menghindari silo informasi.
4.  **Pemanfaatan:** Menggunakan pengetahuan yang ada untuk pengambilan keputusan yang berbasis data (*data-driven decision making*) dan perbaikan layanan publik secara berkelanjutan.
**Tujuan Utama:** Menjamin keberlangsungan tata kelola, mencegah hilangnya keahlian, dan mendorong inovasi dalam penyelenggaraan SPBE.</t>
        </is>
      </c>
      <c r="G69" s="15" t="n">
        <v>100</v>
      </c>
      <c r="H69" s="15" t="n">
        <v>20.56</v>
      </c>
      <c r="I69" s="15" t="n">
        <v>4.35</v>
      </c>
      <c r="J69" s="15" t="n">
        <v>87.01000000000001</v>
      </c>
      <c r="K69" s="15" t="n">
        <v>87.01000000000001</v>
      </c>
      <c r="L69" s="16" t="n">
        <v>0.1299</v>
      </c>
      <c r="M69" s="16" t="n">
        <v>0.1299</v>
      </c>
      <c r="N69" s="15" t="n">
        <v>12.99</v>
      </c>
      <c r="O69" s="17" t="inlineStr">
        <is>
          <t>PASSED</t>
        </is>
      </c>
      <c r="P69" s="16" t="n">
        <v>0.8701</v>
      </c>
    </row>
    <row r="70">
      <c r="A70" s="12" t="n">
        <v>62</v>
      </c>
      <c r="B70" s="13" t="inlineStr">
        <is>
          <t>Faktual</t>
        </is>
      </c>
      <c r="C70" s="13" t="inlineStr">
        <is>
          <t>google/gemma-4-26b-a4b-it:free</t>
        </is>
      </c>
      <c r="D70" s="14" t="inlineStr">
        <is>
          <t>Jelaskan secara umum konsep 'manajemen keberlangsungan layanan'.</t>
        </is>
      </c>
      <c r="E70" s="14" t="inlineStr">
        <is>
          <t>Upaya menjaga layanan tetap berjalan saat terjadi gangguan.</t>
        </is>
      </c>
      <c r="F70" s="14" t="inlineStr">
        <is>
          <t>**Manajemen Keberlangsungan Layanan** adalah proses terencana untuk memastikan layanan SPBE tetap dapat berjalan atau segera pulih setelah terjadi gangguan, bencana, atau insiden yang tidak terduga.
**Inti Konsep:**
1.  **Tujuan:** Meminimalkan dampak gangguan terhadap operasional pemerintah dan memastikan layanan publik tetap tersedia (menjaga *availability*).
2.ekosistem **Komponen Utama:**
    *   **Analisis Dampak Bisnis (BIA):** Menentukan layanan kritis dan batas toleransi gangguan.
    *   **Strategi Pemulihan:** Menyiapkan prosedur, sumber daya, dan cadangan (backup).
    *   **Rencana Keberlangsungan Layanan (Business Continuity Plan/BCP):** Dokumen panduan langkah kerja saat krisis.
    *   **Pemulihan Bencana (Disaster Recovery):** Fokus pada pemulihan infrastruktur TI dan data.
3.  **Siklus:** Meliputi perencanaan, implementasi, pengujian (simulasi), serta evaluasi dan perbaikan secara berkala.
**Landasan:** Terintegrasi dengan Manajemen Keamanan Informasi dan Manajemen Risiko dalam tata kelola SPBE.</t>
        </is>
      </c>
      <c r="G70" s="15" t="n">
        <v>100</v>
      </c>
      <c r="H70" s="15" t="n">
        <v>26.1</v>
      </c>
      <c r="I70" s="15" t="n">
        <v>4.29</v>
      </c>
      <c r="J70" s="15" t="n">
        <v>85.72</v>
      </c>
      <c r="K70" s="15" t="n">
        <v>85.72</v>
      </c>
      <c r="L70" s="16" t="n">
        <v>0.1428</v>
      </c>
      <c r="M70" s="16" t="n">
        <v>0.1428</v>
      </c>
      <c r="N70" s="15" t="n">
        <v>14.28</v>
      </c>
      <c r="O70" s="17" t="inlineStr">
        <is>
          <t>PASSED</t>
        </is>
      </c>
      <c r="P70" s="16" t="n">
        <v>0.8572</v>
      </c>
    </row>
    <row r="71">
      <c r="A71" s="12" t="n">
        <v>63</v>
      </c>
      <c r="B71" s="13" t="inlineStr">
        <is>
          <t>Analisis</t>
        </is>
      </c>
      <c r="C71" s="13" t="inlineStr">
        <is>
          <t>google/gemma-4-26b-a4b-it:free</t>
        </is>
      </c>
      <c r="D71" s="14" t="inlineStr">
        <is>
          <t>Bagaimana hubungan antara manajemen relasi pengguna dan kepuasan pengguna layanan digital pemerintah?</t>
        </is>
      </c>
      <c r="E71" s="14" t="inlineStr">
        <is>
          <t>Manajemen relasi pengguna mengelola interaksi dan masukan pengguna, sehingga mendukung peningkatan kepuasan layanan digital.</t>
        </is>
      </c>
      <c r="F71" s="14" t="inlineStr">
        <is>
          <t>Hubungan antara manajemen relasi pengguna dan kepuasan pengguna dalam konteks SPBE adalah **hubungan sebab-akibat (kausalitas) yang bersifat langsung.**
Secara teknis, hubungannya adalah sebagai berikut:
1.  **Manajemen Relasi Pengguna sebagai Input:** Merupakan proses pengelolaan interaksi, umpan balik (*feedback*), pengaduan, dan edukasi pengguna terhadap layanan digital pemerintah.
2.- **Kepuasan Pengguna sebagai Output:** Merupakan indikator keberhasilan layanan (berdasarkan indeks kepuasan masyarakat/pengguna).
**Mekanisme Hubungannya:**
*   **Responsivitas:** Manajemen relasi yang baik memastikan setiap kendala teknis atau keluhan pengguna ditangani dengan cepat. Hal ini menurunkan frustrasi pengguna dan meningkatkan kepuasan.
*   **Personalisasi &amp; Relevansi:** Pengelolaan data pengguna yang baik memungkinkan pemerintah menyediakan layanan yang sesuai dengan kebutuhan spesifik pengguna, yang secara langsung meningkatkan nilai guna (*perceived usefulness*) layanan.
*   - **Siklus Perbaikan Kontinu:** Manajemen relasi berfungsi sebagai kanal *feedback loop*. Masukan pengguna diolah menjadi perbaikan sistem (iterasi), sehingga kualitas layanan digital terus meningkat, yang berujung pada peningkatan kepuasan.
**Kesimpulan:**
Manajemen relasi pengguna adalah **instrumen kendali kualitas**. Semakin efektif manajemen relasi dijalankan (komunikasi lancar, keluhan tertangani, sistem adaptif), maka semakin tinggi tingkat kepuasan pengguna terhadap layanan digital pemerintah.</t>
        </is>
      </c>
      <c r="G71" s="15" t="n">
        <v>100</v>
      </c>
      <c r="H71" s="15" t="n">
        <v>33.84</v>
      </c>
      <c r="I71" s="15" t="n">
        <v>4.43</v>
      </c>
      <c r="J71" s="15" t="n">
        <v>88.62</v>
      </c>
      <c r="K71" s="15" t="n">
        <v>88.62</v>
      </c>
      <c r="L71" s="16" t="n">
        <v>0.1138</v>
      </c>
      <c r="M71" s="16" t="n">
        <v>0.1138</v>
      </c>
      <c r="N71" s="15" t="n">
        <v>11.38</v>
      </c>
      <c r="O71" s="17" t="inlineStr">
        <is>
          <t>PASSED</t>
        </is>
      </c>
      <c r="P71" s="16" t="n">
        <v>0.8862</v>
      </c>
    </row>
    <row r="72">
      <c r="A72" s="12" t="n">
        <v>64</v>
      </c>
      <c r="B72" s="13" t="inlineStr">
        <is>
          <t>Faktual</t>
        </is>
      </c>
      <c r="C72" s="13" t="inlineStr">
        <is>
          <t>google/gemma-4-26b-a4b-it:free</t>
        </is>
      </c>
      <c r="D72" s="14" t="inlineStr">
        <is>
          <t>Jelaskan secara umum konsep 'audit eksternal keamanan'.</t>
        </is>
      </c>
      <c r="E72" s="14" t="inlineStr">
        <is>
          <t>Audit oleh pihak independen di luar instansi untuk menilai keamanan.</t>
        </is>
      </c>
      <c r="F72" s="14" t="inlineStr">
        <is>
          <t>**Audit Eksternal Keamanan** adalah proses evaluasi independen terhadap sistem informasi dan infrastruktur teknologi untuk mengukur tingkat kepatuhan serta efektivitas kontrol keamanan terhadap standar atau regulasi tertentu (seperti ISO 27001 atau standar BSSN).
**Inti Konsep:**
1.  **Pelaksana:** Dilakukan oleh pihak ketiga yang independen (bukan auditor internal organisasi) untuk menjamin objektivitas.
2.' **Tujuan:** Mengidentifikasi celah keamanan (vulnerabilities), memastikan kepatuhan regulasi, dan memberikan validasi independen atas efektivitas sistem keamanan informasi.
3. **Output:** Laporan temuan dan rekomendasi perbaikan untuk memitigasi risiko siber.
4. **Konteks SPBE:** Merupakan bagian dari pengawasan tata kelola keamanan informasi guna memastikan infrastruktur digital pemerintah terlindungi dari ancaman.</t>
        </is>
      </c>
      <c r="G72" s="15" t="n">
        <v>100</v>
      </c>
      <c r="H72" s="15" t="n">
        <v>21.05</v>
      </c>
      <c r="I72" s="15" t="n">
        <v>4.34</v>
      </c>
      <c r="J72" s="15" t="n">
        <v>86.90000000000001</v>
      </c>
      <c r="K72" s="15" t="n">
        <v>86.90000000000001</v>
      </c>
      <c r="L72" s="16" t="n">
        <v>0.131</v>
      </c>
      <c r="M72" s="16" t="n">
        <v>0.131</v>
      </c>
      <c r="N72" s="15" t="n">
        <v>13.1</v>
      </c>
      <c r="O72" s="17" t="inlineStr">
        <is>
          <t>PASSED</t>
        </is>
      </c>
      <c r="P72" s="16" t="n">
        <v>0.869</v>
      </c>
    </row>
    <row r="73">
      <c r="A73" s="12" t="n">
        <v>65</v>
      </c>
      <c r="B73" s="13" t="inlineStr">
        <is>
          <t>Faktual</t>
        </is>
      </c>
      <c r="C73" s="13" t="inlineStr">
        <is>
          <t>google/gemma-4-26b-a4b-it:free</t>
        </is>
      </c>
      <c r="D73" s="14" t="inlineStr">
        <is>
          <t>Jelaskan secara umum konsep 'audit internal keamanan'.</t>
        </is>
      </c>
      <c r="E73" s="14" t="inlineStr">
        <is>
          <t>Audit oleh tim di dalam instansi untuk menilai kontrol keamanan.</t>
        </is>
      </c>
      <c r="F73" s="14" t="inlineStr">
        <is>
          <t>**Audit Internal Keamanan** adalah proses penilaian mandiri yang dilakukan oleh unit pengawas internal organisasi untuk memastikan bahwa kontrol keamanan informasi telah diterapkan secara efektif, sesuai dengan kebijakan, standar, dan regulasi yang berlaku (seperti Peraturan BSSN atau standar ISO/IEC 27001).
**Fokus Utama:**
1.  **Kepatuhan (Compliance):** Memastikan penerapan keamanan informasi sesuai dengan kebijakan internal dan regulasi SPBE.
2.- **Identifikasi Risiko:** Menemukan celah keamanan (*vulnerability*) dan kelemahan pada sistem/infrastruktur sebelum dieksploitasi pihak luar.
3.- **Efektivitas Kontrol:** Menilai apakah kendali keamanan (teknis, fisik, dan administratif) yang ada sudah bekerja sebagaimana mestinya.
4.- **Perbaikan Berkelanjutan:** Memberikan rekomendasi perbaikan untuk memperkuat postur keamanan informasi organisasi.</t>
        </is>
      </c>
      <c r="G73" s="15" t="n">
        <v>100</v>
      </c>
      <c r="H73" s="15" t="n">
        <v>18.56</v>
      </c>
      <c r="I73" s="15" t="n">
        <v>4.35</v>
      </c>
      <c r="J73" s="15" t="n">
        <v>86.95</v>
      </c>
      <c r="K73" s="15" t="n">
        <v>86.95</v>
      </c>
      <c r="L73" s="16" t="n">
        <v>0.1305</v>
      </c>
      <c r="M73" s="16" t="n">
        <v>0.1305</v>
      </c>
      <c r="N73" s="15" t="n">
        <v>13.05</v>
      </c>
      <c r="O73" s="17" t="inlineStr">
        <is>
          <t>PASSED</t>
        </is>
      </c>
      <c r="P73" s="16" t="n">
        <v>0.8695000000000001</v>
      </c>
    </row>
    <row r="74">
      <c r="A74" s="12" t="n">
        <v>66</v>
      </c>
      <c r="B74" s="13" t="inlineStr">
        <is>
          <t>Faktual</t>
        </is>
      </c>
      <c r="C74" s="13" t="inlineStr">
        <is>
          <t>google/gemma-4-26b-a4b-it:free</t>
        </is>
      </c>
      <c r="D74" s="14" t="inlineStr">
        <is>
          <t>Jelaskan secara umum konsep 'data at-rest, in-use, dan in-transit'.</t>
        </is>
      </c>
      <c r="E74" s="14" t="inlineStr">
        <is>
          <t>Kondisi data saat disimpan, digunakan, dan dipertukarkan.</t>
        </is>
      </c>
      <c r="F74" s="14" t="inlineStr">
        <is>
          <t>Dalam konteks keamanan informasi dan tata kelola data (termasuk dalam kerangka kerja SPBE), berikut adalah penjelasannya:
1.  **Data at-Rest (Data Diam):** Data yang sedang tersimpan secara fisik di media penyimpanan (seperti *hard disk*, *database*, atau *cloud storage*) dan tidak sedang berpindah atau diproses.
    *   *Fokus Keamanan:* Enkripsi penyimpanan dan kontrol akses fisik/logis.
2.  **Data in-Transit (Data dalam Perjalanan):** Data yang sedang berpindah dari satu lokasi ke lokasi lain melalui jaringan (seperti pengiriman email, transfer file via internet, atau komunikasi antar server).
    *   *Fokus Keamanan:* Protokol enkripsi jalur komunikasi (contoh: HTTPS, TLS/SSL, VPN).
3.  *Data in-Use (Data dalam Penggunaan):** Data yang sedang diproses, dibaca, atau dimodifikasi oleh CPU atau disimpan dalam RAM/Cache untuk kebutuhan komputasi aktif.
    *   *Fokus Keamanan:* Manajemen memori, kontrol hak akses aplikasi, dan teknik seperti *confidential computing*.</t>
        </is>
      </c>
      <c r="G74" s="15" t="n">
        <v>100</v>
      </c>
      <c r="H74" s="15" t="n">
        <v>20.76</v>
      </c>
      <c r="I74" s="15" t="n">
        <v>4.27</v>
      </c>
      <c r="J74" s="15" t="n">
        <v>85.31</v>
      </c>
      <c r="K74" s="15" t="n">
        <v>85.31</v>
      </c>
      <c r="L74" s="16" t="n">
        <v>0.1469</v>
      </c>
      <c r="M74" s="16" t="n">
        <v>0.1469</v>
      </c>
      <c r="N74" s="15" t="n">
        <v>14.69</v>
      </c>
      <c r="O74" s="17" t="inlineStr">
        <is>
          <t>PASSED</t>
        </is>
      </c>
      <c r="P74" s="16" t="n">
        <v>0.8531</v>
      </c>
    </row>
    <row r="75">
      <c r="A75" s="12" t="n">
        <v>67</v>
      </c>
      <c r="B75" s="13" t="inlineStr">
        <is>
          <t>Faktual</t>
        </is>
      </c>
      <c r="C75" s="13" t="inlineStr">
        <is>
          <t>google/gemma-4-26b-a4b-it:free</t>
        </is>
      </c>
      <c r="D75" s="14" t="inlineStr">
        <is>
          <t>Jelaskan secara umum konsep 'survei kepuasan masyarakat (SKM)'.</t>
        </is>
      </c>
      <c r="E75" s="14" t="inlineStr">
        <is>
          <t>Instrumen mengukur kepuasan masyarakat atas layanan.</t>
        </is>
      </c>
      <c r="F75" s="14" t="inlineStr">
        <is>
          <t>**Survei Kepuasan Masyarakat (SKM)** adalah instrumen pengukuran untuk mengetahui tingkat kinerja penyelenggara pelayanan publik berdasarkan persepsi pengguna layanan.
**Poin Utama:**
1.  **Tujuan:** Mengukur kualitas pelayanan, mengidentifikasi kekurangan, dan sebagai dasar perbaikan layanan secara berkelanjutan.
2.- **Landasan:** Berpedoman pada regulasi pengelolaan pelayanan publik (seperti Permenpan RB) untuk memastikan hasil yang objektif dan terukur.
3. **Indikator:** Biasanya mencakup aspek persyaratan, prosedur, waktu pelayanan, biaya/tarif, produk layanan, kompetensi pelaksana, perilaku pelaksana, serta sarana dan prasarana.
4. **Output:** Hasil survei berupa indeks yang menunjukkan tingkat kepuasan (sangat baik, baik, kurang baik, atau tidak baik) yang harus dipublikasikan sebagai bentuk transparansi.</t>
        </is>
      </c>
      <c r="G75" s="15" t="n">
        <v>100</v>
      </c>
      <c r="H75" s="15" t="n">
        <v>20.03</v>
      </c>
      <c r="I75" s="15" t="n">
        <v>4.41</v>
      </c>
      <c r="J75" s="15" t="n">
        <v>88.29000000000001</v>
      </c>
      <c r="K75" s="15" t="n">
        <v>88.29000000000001</v>
      </c>
      <c r="L75" s="16" t="n">
        <v>0.1171</v>
      </c>
      <c r="M75" s="16" t="n">
        <v>0.1171</v>
      </c>
      <c r="N75" s="15" t="n">
        <v>11.71</v>
      </c>
      <c r="O75" s="17" t="inlineStr">
        <is>
          <t>PASSED</t>
        </is>
      </c>
      <c r="P75" s="16" t="n">
        <v>0.8829</v>
      </c>
    </row>
    <row r="76">
      <c r="A76" s="12" t="n">
        <v>68</v>
      </c>
      <c r="B76" s="13" t="inlineStr">
        <is>
          <t>Analisis</t>
        </is>
      </c>
      <c r="C76" s="13" t="inlineStr">
        <is>
          <t>google/gemma-4-26b-a4b-it:free</t>
        </is>
      </c>
      <c r="D76" s="14" t="inlineStr">
        <is>
          <t>Mengapa metode mystery shopper efektif untuk mengevaluasi kualitas layanan publik?</t>
        </is>
      </c>
      <c r="E76" s="14" t="inlineStr">
        <is>
          <t>Karena penilai menyamar sebagai pengguna biasa, sehingga penilaian dilakukan secara objektif tanpa bias yang muncul saat responden tahu sedang dievaluasi.</t>
        </is>
      </c>
      <c r="F76" s="14" t="inlineStr">
        <is>
          <t>Metode *mystery shopper* efektif untuk mengevaluasi kualitas layanan publik karena:
1.  **Objektivitas Realistis:** Menilai layanan berdasarkan pengalaman nyata pengguna (*user experience*), bukan sekadar pemenuhan dokumen administratif atau standar prosedur (SOP) di atas kertas.
2.  **Mengukur Perilaku Riil:** Mampu mendeteksi perilaku petugas (sikap, keramahan, kecepatan) dan kualitas infrastruktur layanan yang seringkali tidak tertangkap melalui audit formal.
3.  **Deteksi Celah Layanan:** Mengidentifikasi hambatan atau maladminstrasi yang terjadi di lapangan saat proses layanan berlangsung.
4.  *Data-Driven* **untuk Perbaikan:** Memberikan data berbasis bukti (*evidence-based*) yang spesifik untuk perbaikan kualitas layanan secara berkelanjutan (sesuai prinsip tata kelola layanan publik yang prima).</t>
        </is>
      </c>
      <c r="G76" s="15" t="n">
        <v>84.77</v>
      </c>
      <c r="H76" s="15" t="n">
        <v>29.26</v>
      </c>
      <c r="I76" s="15" t="n">
        <v>4.24</v>
      </c>
      <c r="J76" s="15" t="n">
        <v>84.77</v>
      </c>
      <c r="K76" s="15" t="n">
        <v>84.77</v>
      </c>
      <c r="L76" s="16" t="n">
        <v>0.1523</v>
      </c>
      <c r="M76" s="16" t="n">
        <v>0.1523</v>
      </c>
      <c r="N76" s="15" t="n">
        <v>15.23</v>
      </c>
      <c r="O76" s="18" t="inlineStr">
        <is>
          <t>FAILED</t>
        </is>
      </c>
      <c r="P76" s="16" t="n">
        <v>0.8477</v>
      </c>
    </row>
    <row r="77">
      <c r="A77" s="12" t="n">
        <v>69</v>
      </c>
      <c r="B77" s="13" t="inlineStr">
        <is>
          <t>Evaluatif</t>
        </is>
      </c>
      <c r="C77" s="13" t="inlineStr">
        <is>
          <t>google/gemma-4-26b-a4b-it:free</t>
        </is>
      </c>
      <c r="D77" s="14" t="inlineStr">
        <is>
          <t>Apa dampaknya jika portal nasional pelayanan publik tidak berjalan optimal?</t>
        </is>
      </c>
      <c r="E77" s="14" t="inlineStr">
        <is>
          <t>Masyarakat kesulitan mengakses layanan pemerintah secara terpadu, sehingga menurunkan kualitas dan efisiensi pelayanan publik secara keseluruhan.</t>
        </is>
      </c>
      <c r="F77" s="14" t="inlineStr">
        <is>
          <t>Jika portal nasional pelayanan publik tidak berjalan optimal, dampak utamanya adalah:
1.  **Inefisiensi Birokrasi:** Terjadi duplikasi aplikasi dan fragmentasi layanan antar instansi, yang menyebabkan pemborosan anggaran negara (APBN/APBD).
2.. **Fragmentasi Data:** Sulitnya mewujudkan *Single Identity Number* dan integrasi data nasional, sehingga prinsip "Satu Data Indonesia" tidak tercapai.
3.**Penurunan Kualitas Layanan:** Masyarakat mengalami kesulitan akses (silogisme layanan), prosedur yang berbelit, dan ketidakteraturan informasi layanan publik.
4.**Rendahnya Indeks SPBE:** Menurunnya nilai evaluasi Sistem Pemerintahan Berbasis Elektronik nasional karena gagalnya integrasi layanan secara nasional.
5.**Ketidakpercayaan Publik:** Menurunnya tingkat kepercayaan masyarakat terhadap digitalisasi pemerintah karena sistem yang tidak reliabel atau sulit digunakan.</t>
        </is>
      </c>
      <c r="G77" s="15" t="n">
        <v>84.88</v>
      </c>
      <c r="H77" s="15" t="n">
        <v>21.64</v>
      </c>
      <c r="I77" s="15" t="n">
        <v>4.24</v>
      </c>
      <c r="J77" s="15" t="n">
        <v>84.88</v>
      </c>
      <c r="K77" s="15" t="n">
        <v>84.88</v>
      </c>
      <c r="L77" s="16" t="n">
        <v>0.1512</v>
      </c>
      <c r="M77" s="16" t="n">
        <v>0.1512</v>
      </c>
      <c r="N77" s="15" t="n">
        <v>15.12</v>
      </c>
      <c r="O77" s="18" t="inlineStr">
        <is>
          <t>FAILED</t>
        </is>
      </c>
      <c r="P77" s="16" t="n">
        <v>0.8488</v>
      </c>
    </row>
    <row r="78">
      <c r="A78" s="12" t="n">
        <v>70</v>
      </c>
      <c r="B78" s="13" t="inlineStr">
        <is>
          <t>Evaluatif</t>
        </is>
      </c>
      <c r="C78" s="13" t="inlineStr">
        <is>
          <t>google/gemma-4-26b-a4b-it:free</t>
        </is>
      </c>
      <c r="D78" s="14" t="inlineStr">
        <is>
          <t>Seberapa penting kepuasan pengguna sebagai tolok ukur keberhasilan layanan digital pemerintah?</t>
        </is>
      </c>
      <c r="E78" s="14" t="inlineStr">
        <is>
          <t>Keberhasilan layanan digital diukur dari manfaat nyata yang dirasakan masyarakat.</t>
        </is>
      </c>
      <c r="F78" s="14" t="inlineStr">
        <is>
          <t>Sangat penting. Dalam kerangka SPBE, kepuasan pengguna adalah indikator utama keberhasilan implementasi layanan digital karena:
1.  **Indikator Efektivitas:** Layanan digital yang canggih secara teknis dianggap gagal jika tidak memberikan kemudahan (*usability*) dan nilai manfaat bagi masyarakat/aparatur.
2.- **Orientasi pada Pengguna (*User-Centric*):** Sesuai prinsip tata kelola modern, keberhasilan SPBE diukur dari sejauh mana layanan mampu menjawab kebutuhan pengguna secara efisien, bukan sekadar digitalisasi proses manual.
3.- **Parameter Evaluasi:** Tingkat kepuasan pengguna menjadi basis data dalam **Evaluasi SPBE** untuk menentukan apakah pengembangan sistem perlu dilanjutkan, diperbaiki, atau diganti (mengurangi fragmentasi aplikasi).
4.- **Kepercayaan Publik (*Public Trust*):** Kepuasan yang tinggi berkorelasi langsung dengan tingkat adopsi layanan digital dan kepercayaan masyarakat terhadap pemerintah.
**Kesimpulan:** Tanpa kepuasan pengguna, digitalisasi hanya menjadi pemborosan anggaran tanpa dampak nyata pada peningkatan kualitas pelayanan publik.</t>
        </is>
      </c>
      <c r="G78" s="15" t="n">
        <v>100</v>
      </c>
      <c r="H78" s="15" t="n">
        <v>24.68</v>
      </c>
      <c r="I78" s="15" t="n">
        <v>4.38</v>
      </c>
      <c r="J78" s="15" t="n">
        <v>87.52</v>
      </c>
      <c r="K78" s="15" t="n">
        <v>87.52</v>
      </c>
      <c r="L78" s="16" t="n">
        <v>0.1248</v>
      </c>
      <c r="M78" s="16" t="n">
        <v>0.1248</v>
      </c>
      <c r="N78" s="15" t="n">
        <v>12.48</v>
      </c>
      <c r="O78" s="17" t="inlineStr">
        <is>
          <t>PASSED</t>
        </is>
      </c>
      <c r="P78" s="16" t="n">
        <v>0.8752</v>
      </c>
    </row>
    <row r="79">
      <c r="A79" s="12" t="n">
        <v>71</v>
      </c>
      <c r="B79" s="13" t="inlineStr">
        <is>
          <t>Faktual</t>
        </is>
      </c>
      <c r="C79" s="13" t="inlineStr">
        <is>
          <t>google/gemma-4-26b-a4b-it:free</t>
        </is>
      </c>
      <c r="D79" s="14" t="inlineStr">
        <is>
          <t>Jelaskan secara umum konsep 'dasbor eksekutif untuk pimpinan'.</t>
        </is>
      </c>
      <c r="E79" s="14" t="inlineStr">
        <is>
          <t>Tampilan ringkas indikator kinerja untuk pengambilan keputusan.</t>
        </is>
      </c>
      <c r="F79" s="14" t="inlineStr">
        <is>
          <t>**Dasbor Eksekutif untuk Pimpinan** adalah alat visualisasi data strategis yang menyajikan indikator kinerja utama (KPI) secara *real-time* untuk mendukung pengambilan keputusan yang cepat dan berbasis data (*data-driven decision making*).
**Karakteristik Utama:**
1.  **Visual &amp; Ringkas:** Menggunakan grafik, diagram, dan peta untuk menyederhankan data kompleks.
2.*   **High-Level:** Hanya menampilkan metrik strategis (tidak teknis), bukan detail operasional.
3.*   **Real-time:** Menyajikan data terkini untuk memantau capaian target secara instan.
4*   **Interaktif:** Memungkinkan pimpinan melakukan *drill-down* (melihat detail lebih dalam) pada area yang membutuhkan perhatian khusus.
**Dalam Konteks SPBE:**
Berfungsi sebagai instruman **Monitoring dan Evaluasi (Monev)** terhadap capaian indikator kinerja organisasi, penggunaan anggaran, hingga status layanan digital secara terintegrasi dalam satu layar.</t>
        </is>
      </c>
      <c r="G79" s="15" t="n">
        <v>84.84</v>
      </c>
      <c r="H79" s="15" t="n">
        <v>21.4</v>
      </c>
      <c r="I79" s="15" t="n">
        <v>4.24</v>
      </c>
      <c r="J79" s="15" t="n">
        <v>84.84</v>
      </c>
      <c r="K79" s="15" t="n">
        <v>84.84</v>
      </c>
      <c r="L79" s="16" t="n">
        <v>0.1516</v>
      </c>
      <c r="M79" s="16" t="n">
        <v>0.1516</v>
      </c>
      <c r="N79" s="15" t="n">
        <v>15.16</v>
      </c>
      <c r="O79" s="18" t="inlineStr">
        <is>
          <t>FAILED</t>
        </is>
      </c>
      <c r="P79" s="16" t="n">
        <v>0.8484</v>
      </c>
    </row>
    <row r="80">
      <c r="A80" s="12" t="n">
        <v>72</v>
      </c>
      <c r="B80" s="13" t="inlineStr">
        <is>
          <t>Faktual</t>
        </is>
      </c>
      <c r="C80" s="13" t="inlineStr">
        <is>
          <t>google/gemma-4-26b-a4b-it:free</t>
        </is>
      </c>
      <c r="D80" s="14" t="inlineStr">
        <is>
          <t>Jelaskan secara umum konsep 'integrasi aplikasi antarinstansi'.</t>
        </is>
      </c>
      <c r="E80" s="14" t="inlineStr">
        <is>
          <t>Menghubungkan aplikasi agar dapat berbagi data dan fungsi.</t>
        </is>
      </c>
      <c r="F80" s="14" t="inlineStr">
        <is>
          <t>**Integrasi aplikasi antarinstansi** adalah proses menghubungkan berbagai aplikasi milik instansi pemerintah yang berbeda agar dapat saling berbagi data dan menjalankan fungsi secara terpadu.
**Poin Utama:**
1.  **Tujuan:** Menghilangkan silo data (data yang terfragmentasi), menghindari duplikasi aplikasi, dan menciptakan efisiensi proses bisnis pemerintahan.
2.- **Mekanisme:** Menggunakan standar interoperabilitas (seperti API - *Application Programming Interface*) sehingga sistem yang berbeda platform dapat saling berkomunikasi.
3.- **Landasan Utama:** Implementasi **Sistem Pemerintahan Berbasis Elektronik (SPBE)** melalui pembangunan **Portal Layanan Digital Nasional** dan **Layanan Data Terpadu** (sebagaimana diatur dalam Perpres No. 95 Tahun 2018).
4.- **Hasil Akhir:** Terciptanya interoperabilitas data yang memungkinkan layanan publik dilakukan secara terintegrasi (satu data) tanpa harus memasukkan data yang sama berulang kali di aplikasi yang berbeda.</t>
        </is>
      </c>
      <c r="G80" s="15" t="n">
        <v>100</v>
      </c>
      <c r="H80" s="15" t="n">
        <v>22.12</v>
      </c>
      <c r="I80" s="15" t="n">
        <v>4.27</v>
      </c>
      <c r="J80" s="15" t="n">
        <v>85.45</v>
      </c>
      <c r="K80" s="15" t="n">
        <v>85.45</v>
      </c>
      <c r="L80" s="16" t="n">
        <v>0.1455</v>
      </c>
      <c r="M80" s="16" t="n">
        <v>0.1455</v>
      </c>
      <c r="N80" s="15" t="n">
        <v>14.55</v>
      </c>
      <c r="O80" s="17" t="inlineStr">
        <is>
          <t>PASSED</t>
        </is>
      </c>
      <c r="P80" s="16" t="n">
        <v>0.8545</v>
      </c>
    </row>
    <row r="81">
      <c r="A81" s="12" t="n">
        <v>73</v>
      </c>
      <c r="B81" s="13" t="inlineStr">
        <is>
          <t>Faktual</t>
        </is>
      </c>
      <c r="C81" s="13" t="inlineStr">
        <is>
          <t>google/gemma-4-26b-a4b-it:free</t>
        </is>
      </c>
      <c r="D81" s="14" t="inlineStr">
        <is>
          <t>Jelaskan secara umum konsep 'kompetensi teknis ASN bidang digital'.</t>
        </is>
      </c>
      <c r="E81" s="14" t="inlineStr">
        <is>
          <t>Kemampuan teknis digital yang wajib dimiliki ASN sesuai jabatan.</t>
        </is>
      </c>
      <c r="F81" s="14" t="inlineStr">
        <is>
          <t>**Kompetensi teknis ASN bidang digital** adalah kemampuan spesifik yang harus dimiliki ASN untuk menjalankan tugas dan fungsi di era transformasi digital, yang mencakup penguasaan terhadap teknologi, data, dan informasi.
Berdasarkan kerangka tata kelola digital pemerintah, konsep ini mencakup tiga pilar utama:
1.  **Literasi Digital:** Kemampuan menggunakan perangkat, perangkat lunak, dan platform digital secara efektif, aman, dan etis.
2._**Keterampilan Teknis (Hard Skills):**_ Kemampuan operasional dalam bidang spesifik seperti manajemen data (Big Data), keamanan siber (*cyber security*), pengembangan aplikasi, infrastruktur jaringan, hingga pemanfaikaan kecerdasan buatan (*AI*).
3._**Kecakapan Digital (Digital Skills):**_ Kemampuan mengintegrasikan teknologi dalam proses bisnis pemerintahan (digitalisasi layanan) untuk meningkatkan efisiensi, transparansi, dan kualitas pelayanan publik sesuai prinsip SPBE.
**Inti Konsep:** Pergeseran dari sekadar "tahu teknologi" menjadi "mampu menggunakan teknologi untuk pengambilan kebijakan berbasis data (*data-driven policy*) dan pelayanan publik yang terintegrasi."</t>
        </is>
      </c>
      <c r="G81" s="15" t="n">
        <v>100</v>
      </c>
      <c r="H81" s="15" t="n">
        <v>15.91</v>
      </c>
      <c r="I81" s="15" t="n">
        <v>4.45</v>
      </c>
      <c r="J81" s="15" t="n">
        <v>88.98</v>
      </c>
      <c r="K81" s="15" t="n">
        <v>88.98</v>
      </c>
      <c r="L81" s="16" t="n">
        <v>0.1102</v>
      </c>
      <c r="M81" s="16" t="n">
        <v>0.1102</v>
      </c>
      <c r="N81" s="15" t="n">
        <v>11.02</v>
      </c>
      <c r="O81" s="17" t="inlineStr">
        <is>
          <t>PASSED</t>
        </is>
      </c>
      <c r="P81" s="16" t="n">
        <v>0.8898</v>
      </c>
    </row>
    <row r="82">
      <c r="A82" s="12" t="n">
        <v>74</v>
      </c>
      <c r="B82" s="13" t="inlineStr">
        <is>
          <t>Faktual</t>
        </is>
      </c>
      <c r="C82" s="13" t="inlineStr">
        <is>
          <t>google/gemma-4-26b-a4b-it:free</t>
        </is>
      </c>
      <c r="D82" s="14" t="inlineStr">
        <is>
          <t>Jelaskan secara umum konsep 'forum konsultasi publik'.</t>
        </is>
      </c>
      <c r="E82" s="14" t="inlineStr">
        <is>
          <t>Ruang temu pengguna dan penyedia layanan untuk masukan.</t>
        </is>
      </c>
      <c r="F82" s="14" t="inlineStr">
        <is>
          <t>**Forum Konsultasi Publik (FKP)** dalam konteks SPBE adalah wadah komunikasi dua arah antara penyelenggara layanan pemerintah dengan masyarakat (pengguna layanan) untuk mendapatkan masukan, saran, dan kritik.
**Tujuan Utama:**
1. **Transparansi:** Melibatkan publik dalam proses perencanaan dan evaluasi kebijakan/layanan digital.
2. **Partisipasi:** Menjamin hak masyarakat untuk terlibat dalam pengambilan keputusan.
3. **Akuntabilitas:** Memastikan layanan digital pemerintah relevan dengan kebutuhan nyata pengguna.
4.- **Kualitas Layanan:** Meminimalisir risiko kegagalan implementasi sistem/aplikasi melalui validasi kebutuhan dari sisi pengguna.
**Output:** Rekomendasi perbaikan kebijakan atau fitur layanan yang akan diakomodasi dalam pengembangan sistem/layanan pemerintah.</t>
        </is>
      </c>
      <c r="G82" s="15" t="n">
        <v>100</v>
      </c>
      <c r="H82" s="15" t="n">
        <v>20.1</v>
      </c>
      <c r="I82" s="15" t="n">
        <v>4.31</v>
      </c>
      <c r="J82" s="15" t="n">
        <v>86.2</v>
      </c>
      <c r="K82" s="15" t="n">
        <v>86.2</v>
      </c>
      <c r="L82" s="16" t="n">
        <v>0.138</v>
      </c>
      <c r="M82" s="16" t="n">
        <v>0.138</v>
      </c>
      <c r="N82" s="15" t="n">
        <v>13.8</v>
      </c>
      <c r="O82" s="17" t="inlineStr">
        <is>
          <t>PASSED</t>
        </is>
      </c>
      <c r="P82" s="16" t="n">
        <v>0.862</v>
      </c>
    </row>
    <row r="83">
      <c r="A83" s="12" t="n">
        <v>75</v>
      </c>
      <c r="B83" s="13" t="inlineStr">
        <is>
          <t>Faktual</t>
        </is>
      </c>
      <c r="C83" s="13" t="inlineStr">
        <is>
          <t>google/gemma-4-26b-a4b-it:free</t>
        </is>
      </c>
      <c r="D83" s="14" t="inlineStr">
        <is>
          <t>Jelaskan secara umum konsep 'manajemen insiden siber'.</t>
        </is>
      </c>
      <c r="E83" s="14" t="inlineStr">
        <is>
          <t>Proses mendeteksi, merespons, dan memulihkan dari insiden siber.</t>
        </is>
      </c>
      <c r="F83" s="14" t="inlineStr">
        <is>
          <t>**Manajemen Insiden Siber** adalah proses sistematis untuk mendeteksi, merespons, dan memulihkan sistem dari serangan atau gangguan keamanan siber guna meminimalkan dampak kerugian.
Berdasarkan kerangka kerja keamanan informasi, tahapan utamanya meliputi:
1.  **Persiapan (*Preparation*):** Penyiapan tim (CSIRT), kebijakan, alat, dan prosedur penanganan.
2.  **Identifikasi (*Identification*):** Deteksi dan verifikasi apakah suatu peristiwa merupakan insiden siber.
3.thought
4.  **Penahanan (*Containment*):** Langkah isolasi untuk mencegah serangan menyebar lebih luas.
5.  **Eradikasi (*Eradication*):** Pembersihan penyebab insiden (seperti *malware* atau celah keamanan).
6.  **Pemulihan (*Recovery*):** Pengembalian sistem ke kondisi normal secara aman.
7.  **Pelajaran yang Dipetik (*Lessons Learned*):** Evaluasi pasca-insiden untuk perbaikan tata kelola dan teknis ke depan.
**Tujuan Utama:** Menjaga aspek CIA (*Confidentiality, Integrity, Availability*) pada aset informasi pemerintah.</t>
        </is>
      </c>
      <c r="G83" s="15" t="n">
        <v>100</v>
      </c>
      <c r="H83" s="15" t="n">
        <v>21.83</v>
      </c>
      <c r="I83" s="15" t="n">
        <v>4.45</v>
      </c>
      <c r="J83" s="15" t="n">
        <v>89.09</v>
      </c>
      <c r="K83" s="15" t="n">
        <v>89.09</v>
      </c>
      <c r="L83" s="16" t="n">
        <v>0.1091</v>
      </c>
      <c r="M83" s="16" t="n">
        <v>0.1091</v>
      </c>
      <c r="N83" s="15" t="n">
        <v>10.91</v>
      </c>
      <c r="O83" s="17" t="inlineStr">
        <is>
          <t>PASSED</t>
        </is>
      </c>
      <c r="P83" s="16" t="n">
        <v>0.8909</v>
      </c>
    </row>
    <row r="84">
      <c r="A84" s="12" t="n">
        <v>76</v>
      </c>
      <c r="B84" s="13" t="inlineStr">
        <is>
          <t>Evaluatif</t>
        </is>
      </c>
      <c r="C84" s="13" t="inlineStr">
        <is>
          <t>google/gemma-4-26b-a4b-it:free</t>
        </is>
      </c>
      <c r="D84" s="14" t="inlineStr">
        <is>
          <t>Sejauh mana efektivitas manajemen perubahan dalam mendukung keberhasilan transformasi digital instansi?</t>
        </is>
      </c>
      <c r="E84" s="14" t="inlineStr">
        <is>
          <t>Manajemen perubahan menentukan keberhasilan adopsi sistem digital oleh organisasi.</t>
        </is>
      </c>
      <c r="F84" s="14" t="inlineStr">
        <is>
          <t>Manajemen perubahan merupakan **faktor penentu keberhasilan (critical success factor)** dalam transformasi digital instansi. Efektivitasnya diukur dari tiga aspek utama:
1.  **Mitigasi Resistensi:** Mengurangi penolakan budaya dari pegawai terhadap penggunaan teknologi baru melalui sosialisasi dan literasi digital.
2.- **Penerimaan Teknologi (User Adoption):** Memastikan infrastruktur dan aplikasi SPBE tidak sekadar tersedia, tetapi benar-benar digunakan dalam proses bisnis harian.
3.- **Keberlanjutan (Sustainability):** Menjamin perubahan tidak hanya bersifat teknis (instalasi alat), tetapi menjadi perubahan perilaku (budaya kerja digital) yang selaras dengan tata kelola SPBE.
**Kesimpulan:** Tanpa manajemen perubahan, transformasi digital hanya akan menjadi pengadaan barang/jasa teknologi tanpa dampak nyata pada peningkatan kualitas layanan publik.</t>
        </is>
      </c>
      <c r="G84" s="15" t="n">
        <v>100</v>
      </c>
      <c r="H84" s="15" t="n">
        <v>25.64</v>
      </c>
      <c r="I84" s="15" t="n">
        <v>4.46</v>
      </c>
      <c r="J84" s="15" t="n">
        <v>89.11</v>
      </c>
      <c r="K84" s="15" t="n">
        <v>89.11</v>
      </c>
      <c r="L84" s="16" t="n">
        <v>0.1089</v>
      </c>
      <c r="M84" s="16" t="n">
        <v>0.1089</v>
      </c>
      <c r="N84" s="15" t="n">
        <v>10.89</v>
      </c>
      <c r="O84" s="17" t="inlineStr">
        <is>
          <t>PASSED</t>
        </is>
      </c>
      <c r="P84" s="16" t="n">
        <v>0.8911</v>
      </c>
    </row>
    <row r="85">
      <c r="A85" s="12" t="n">
        <v>77</v>
      </c>
      <c r="B85" s="13" t="inlineStr">
        <is>
          <t>Analisis</t>
        </is>
      </c>
      <c r="C85" s="13" t="inlineStr">
        <is>
          <t>google/gemma-4-26b-a4b-it:free</t>
        </is>
      </c>
      <c r="D85" s="14" t="inlineStr">
        <is>
          <t>Apa perbedaan antara interoperabilitas data dan integrasi aplikasi dalam mewujudkan keterpaduan layanan digital pemerintah?</t>
        </is>
      </c>
      <c r="E85" s="14" t="inlineStr">
        <is>
          <t>Interoperabilitas data berfokus pada pertukaran data, sedangkan integrasi aplikasi berfokus pada keterhubungan antar aplikasi.</t>
        </is>
      </c>
      <c r="F85" s="14" t="inlineStr">
        <is>
          <t>Perbedaan utama keduanya terletak pada **objek** yang dihubungkan:
1.  **Interoperabilitas Data (Fokus pada Informasi):**
    *   **Definisi:** Kemampuan berbagai sistem untuk saling bertukar dan menggunakan data secara akurat dan bermakna.
    *   **Inti:** Menghilangkan sekat data (*data silo*) agar data dari aplikasi A dapat dibaca dan diproses oleh aplikasi B tanpa perubahan format yang menyulitkan.
    *   **Output:** Data yang konsisten, terstandarisasi, dan dapat dibagipakaikan (sesu mengacu pada **Satu Data Indonesia**).
2.  **Integrasi Aplikasi (Fokus pada Sistem/Fungsi):**
    *   *Definisi:* Proses menghubungkan dua atau lebih aplikasi agar dapat bekerja bersama sebagai satu kesatuan fungsi.
    *   **Inti:** Menghubungkan alur kerja (*workflow*) dan fitur antar aplikasi (misalnya melalui API) agar proses bisnis berjalan otomatis dari satu sistem ke sistem lain.
    *   **Output:** Layanan digital yang terpadu (tidak perlu pindah-pindah aplikasi untuk menyelesaikan satu proses layanan).
**Ringkasan:**
*   **Interoperabilitas Data** = Agar data bisa "berbicara" satu sama lain.
*   **Integrasi Aplikasi** = Agar sistem/aplikasi bisa "bekerja sama" menjalankan fungsi.</t>
        </is>
      </c>
      <c r="G85" s="15" t="n">
        <v>100</v>
      </c>
      <c r="H85" s="15" t="n">
        <v>29.52</v>
      </c>
      <c r="I85" s="15" t="n">
        <v>4.44</v>
      </c>
      <c r="J85" s="15" t="n">
        <v>88.8</v>
      </c>
      <c r="K85" s="15" t="n">
        <v>88.8</v>
      </c>
      <c r="L85" s="16" t="n">
        <v>0.112</v>
      </c>
      <c r="M85" s="16" t="n">
        <v>0.112</v>
      </c>
      <c r="N85" s="15" t="n">
        <v>11.2</v>
      </c>
      <c r="O85" s="17" t="inlineStr">
        <is>
          <t>PASSED</t>
        </is>
      </c>
      <c r="P85" s="16" t="n">
        <v>0.888</v>
      </c>
    </row>
    <row r="86">
      <c r="A86" s="12" t="n">
        <v>78</v>
      </c>
      <c r="B86" s="13" t="inlineStr">
        <is>
          <t>Faktual</t>
        </is>
      </c>
      <c r="C86" s="13" t="inlineStr">
        <is>
          <t>google/gemma-4-26b-a4b-it:free</t>
        </is>
      </c>
      <c r="D86" s="14" t="inlineStr">
        <is>
          <t>Jelaskan secara umum konsep 'indikator kinerja utama (IKU)'.</t>
        </is>
      </c>
      <c r="E86" s="14" t="inlineStr">
        <is>
          <t>Ukuran keberhasilan pencapaian sasaran prioritas.</t>
        </is>
      </c>
      <c r="F86" s="14" t="inlineStr">
        <is>
          <t>**Indikator Kinerja Utama (IKU)** adalah ukuran keberhasilan strategis yang digunakan untuk menilai sejauh mana suatu organisasi atau instansi telah mencapai tujuan dan sasaran yang telah ditetapkan.
Dalam konteks SPBE, IKU berfungsi sebagai:
1. **Alat Ukur:** Parameter kuantitatif maupun kualitatif untuk menilai efektivitas implementasi tata kelola, layanan, dan infrastksi digital.
2. **Navigasi Strategis:** Penentu apakah target transformasi digital dalam Rencana Induk SPBE telah tercapai.
3. **Dasar Evaluasi:** Instrumen untuk melakukan penilaian tingkat kematangan (maturity level) SPBE dan akuntabilitas kinerja instansi pemerintah.
**Karakteristik IKU yang baik:** Harus memenuhi prinsip **SMART** (*Specific, Measurable, Achievable, Relevant, dan Time-bound*).</t>
        </is>
      </c>
      <c r="G86" s="15" t="n">
        <v>84.38</v>
      </c>
      <c r="H86" s="15" t="n">
        <v>18.38</v>
      </c>
      <c r="I86" s="15" t="n">
        <v>4.22</v>
      </c>
      <c r="J86" s="15" t="n">
        <v>84.38</v>
      </c>
      <c r="K86" s="15" t="n">
        <v>84.38</v>
      </c>
      <c r="L86" s="16" t="n">
        <v>0.1562</v>
      </c>
      <c r="M86" s="16" t="n">
        <v>0.1562</v>
      </c>
      <c r="N86" s="15" t="n">
        <v>15.62</v>
      </c>
      <c r="O86" s="18" t="inlineStr">
        <is>
          <t>FAILED</t>
        </is>
      </c>
      <c r="P86" s="16" t="n">
        <v>0.8438</v>
      </c>
    </row>
    <row r="87">
      <c r="A87" s="12" t="n">
        <v>79</v>
      </c>
      <c r="B87" s="13" t="inlineStr">
        <is>
          <t>Faktual</t>
        </is>
      </c>
      <c r="C87" s="13" t="inlineStr">
        <is>
          <t>google/gemma-4-26b-a4b-it:free</t>
        </is>
      </c>
      <c r="D87" s="14" t="inlineStr">
        <is>
          <t>Jelaskan secara umum konsep 'penilaian tingkat kematangan'.</t>
        </is>
      </c>
      <c r="E87" s="14" t="inlineStr">
        <is>
          <t>Penilaian sejauh mana praktik organisasi telah matang/terlembaga.</t>
        </is>
      </c>
      <c r="F87" s="14" t="inlineStr">
        <is>
          <t>**Penilaian tingkat kematangan (maturity level assessment)** dalam SPBE adalah proses pengukuran sejauh mana implementasi tata kelkelola, manajemen, dan layanan digital instansi pemerintah telah berjalan sesuai dengan standar yang ditetapkan.
**Inti Konsep:**
1.  **Tujuan:** Mengetahui posisi (kondisi saat ini) dan kualitas penerapan SPBE di suatu instansi.
- **Indikator:** Mengukur kemajuan pada 4 domain utama: Kebijakan Internal, Tata Kelola, Manajemen, dan Layanan SPBE.
- **Skala Nilai:** Menggunakan skala 1 (Rendah/Inisiasi) hingga 5 (Sangat Tinggi/Optimasi).
- **Output:** Hasil penilaian menjadi dasar untuk menentukan strategi perbaikan, perencanaan anggaran, dan pemenuhan target reformasi birokrasi melalui digitalisasi.
**Landasan Regulasi:** Peraturan Presiden No. 95 Tahun 2-018 tentang SPBE dan pedoman teknis dari KemenPAN-RB.</t>
        </is>
      </c>
      <c r="G87" s="15" t="n">
        <v>82.94</v>
      </c>
      <c r="H87" s="15" t="n">
        <v>15.24</v>
      </c>
      <c r="I87" s="15" t="n">
        <v>4.15</v>
      </c>
      <c r="J87" s="15" t="n">
        <v>82.94</v>
      </c>
      <c r="K87" s="15" t="n">
        <v>82.94</v>
      </c>
      <c r="L87" s="16" t="n">
        <v>0.1706</v>
      </c>
      <c r="M87" s="16" t="n">
        <v>0.1706</v>
      </c>
      <c r="N87" s="15" t="n">
        <v>17.06</v>
      </c>
      <c r="O87" s="18" t="inlineStr">
        <is>
          <t>FAILED</t>
        </is>
      </c>
      <c r="P87" s="16" t="n">
        <v>0.8294</v>
      </c>
    </row>
    <row r="88">
      <c r="A88" s="12" t="n">
        <v>80</v>
      </c>
      <c r="B88" s="13" t="inlineStr">
        <is>
          <t>Faktual</t>
        </is>
      </c>
      <c r="C88" s="13" t="inlineStr">
        <is>
          <t>google/gemma-4-26b-a4b-it:free</t>
        </is>
      </c>
      <c r="D88" s="14" t="inlineStr">
        <is>
          <t>Jelaskan secara umum konsep 'transformasi tata kelola pelayanan publik'.</t>
        </is>
      </c>
      <c r="E88" s="14" t="inlineStr">
        <is>
          <t>Perubahan menyeluruh tata kelola agar layanan lebih baik.</t>
        </is>
      </c>
      <c r="F88" s="14" t="inlineStr">
        <is>
          <t>Transformasi tata kelola pelayanan publik dalam konteks SPBE adalah **perubahan paradigma pelayanan dari berbasis manual/fragmentasi menjadi berbasis digital yang terintegrasi, efisien, dan berpusat pada pengguna (user-centric).**
Inti dari transformasi ini meliputi:
1.- **Digitalisasi Proses:** Mengubah prosedur manual menjadi alur kerja digital (paperless).
2.- **Integrasi Data (Interoperabilitas):** Menghilangkan ego sektoral dengan menghubungkan data antar instansi melalui Sistem Penghubung Layanan Pemerintah (SPLP).
3- **Integrasi Layanan:** Peralihan dari aplikasi yang terfragmentasi (satu instansi satu aplikasi) menuju **Portal Layanan Digital Nasional** yang terpadu.
4- **Efisiensi Birokrasi:** Penyederhanaan struktur dan proses bisnis agar layanan lebih cepat, transparan, dan akuntabel.
**Landasan Utama:** Perpres No. 95 Tahun 2-018 tentang SPBE dan Perpres No. 82 Tahun 2023 tentang Percepatan Transformasi Digital.</t>
        </is>
      </c>
      <c r="G88" s="15" t="n">
        <v>83.91</v>
      </c>
      <c r="H88" s="15" t="n">
        <v>22.52</v>
      </c>
      <c r="I88" s="15" t="n">
        <v>4.2</v>
      </c>
      <c r="J88" s="15" t="n">
        <v>83.91</v>
      </c>
      <c r="K88" s="15" t="n">
        <v>83.91</v>
      </c>
      <c r="L88" s="16" t="n">
        <v>0.1609</v>
      </c>
      <c r="M88" s="16" t="n">
        <v>0.1609</v>
      </c>
      <c r="N88" s="15" t="n">
        <v>16.09</v>
      </c>
      <c r="O88" s="18" t="inlineStr">
        <is>
          <t>FAILED</t>
        </is>
      </c>
      <c r="P88" s="16" t="n">
        <v>0.8391</v>
      </c>
    </row>
    <row r="89">
      <c r="A89" s="12" t="n">
        <v>81</v>
      </c>
      <c r="B89" s="13" t="inlineStr">
        <is>
          <t>Faktual</t>
        </is>
      </c>
      <c r="C89" s="13" t="inlineStr">
        <is>
          <t>google/gemma-4-26b-a4b-it:free</t>
        </is>
      </c>
      <c r="D89" s="14" t="inlineStr">
        <is>
          <t>Jelaskan secara umum konsep 'ekosistem pusat data nasional'.</t>
        </is>
      </c>
      <c r="E89" s="14" t="inlineStr">
        <is>
          <t>Kumpulan fasilitas pusat data terkonsolidasi tingkat nasional.</t>
        </is>
      </c>
      <c r="F89" s="14" t="inlineStr">
        <is>
          <t>Konsep **Ekosistem Pusat Data Nasional (PDN)** adalah sebuah sistem terintegrasi yang mengintegrasikan infrastruktur teknologi informasi, pengelolaan data, dan layanan digital antar instansi pemerintah dalam satu lingkungan yang terpadu.
**Pilar Utama:**
1. **Infrastruktur Terpusat:** Penggunaan pusat data (Data Center) dan pusat layanan (Cloud) bersama untuk menghindari duplikasi infrastruktur di tiap instansi.
2.- **Integrasi Data:** Memungkinkan pertukaran data antar instansi secara aman dan real-time melalui sistem interoperabilitas.
3. **Keamanan Informasi:** Penerapan standar keamanan siber yang seragam untuk melindungi data negara.
4- **Efisi-siensi:** Mengurangi biaya pengadaan infrastruktur mandiri di tiap instansi dan mengoptimalkan penggunaan sumber daya digital pemerintah.
**Tujuan Utama:** Mewujudkan kedaulatan data nasional, efisiasi anggaran IT, dan integrasi layanan publik berbasis digital (Satu Data Indonesia).</t>
        </is>
      </c>
      <c r="G89" s="15" t="n">
        <v>100</v>
      </c>
      <c r="H89" s="15" t="n">
        <v>31.48</v>
      </c>
      <c r="I89" s="15" t="n">
        <v>4.34</v>
      </c>
      <c r="J89" s="15" t="n">
        <v>86.76000000000001</v>
      </c>
      <c r="K89" s="15" t="n">
        <v>86.76000000000001</v>
      </c>
      <c r="L89" s="16" t="n">
        <v>0.1324</v>
      </c>
      <c r="M89" s="16" t="n">
        <v>0.1324</v>
      </c>
      <c r="N89" s="15" t="n">
        <v>13.24</v>
      </c>
      <c r="O89" s="17" t="inlineStr">
        <is>
          <t>PASSED</t>
        </is>
      </c>
      <c r="P89" s="16" t="n">
        <v>0.8676</v>
      </c>
    </row>
    <row r="90">
      <c r="A90" s="12" t="n">
        <v>82</v>
      </c>
      <c r="B90" s="13" t="inlineStr">
        <is>
          <t>Evaluatif</t>
        </is>
      </c>
      <c r="C90" s="13" t="inlineStr">
        <is>
          <t>google/gemma-4-26b-a4b-it:free</t>
        </is>
      </c>
      <c r="D90" s="14" t="inlineStr">
        <is>
          <t>Mengapa strategi penilaian perlu diintegrasikan ke dalam layanan digital?</t>
        </is>
      </c>
      <c r="E90" s="14" t="inlineStr">
        <is>
          <t>Agar penilaian berjalan secara real-time dan umpan balik perbaikan dapat diperoleh lebih cepat.</t>
        </is>
      </c>
      <c r="F90" s="14" t="inlineStr">
        <is>
          <t>Strategi penilaian perlu diintegrasikan ke dalam layanan digital karena:
1.  **Pengukuran Kematangan (Maturity):** Untuk mengetahui sejauh mana tingkat kematangan tata kelola dan layanan digital secara real-time.
2.- **Pengendalian Kualitas (Quality Control):** Menjamin layanan tetap sesuai dengan standar teknis dan fungsional yang ditetapkan dalam kerangka SPBE.
3.- **Evaluasi Berbasis Data:** Menyediakan basis data objektif untuk perbaikan berkelanjutan (*continuous improvement*) berdasarkan indikator kinerja yang terukur.
4.- **Mitigasi Risiko:** Mendeteksi kegagalan sistem atau ketidakpatuhan regulasi sejak dini sebelum berdampak pada pengguna.
5.- **Akuntabilitas:** Memastikan penyelenggara layanan dapat mempertanggungjawabkan kinerja digitalnya kepada publik dan pemangku kepentingan.</t>
        </is>
      </c>
      <c r="G90" s="15" t="n">
        <v>83.94</v>
      </c>
      <c r="H90" s="15" t="n">
        <v>14.28</v>
      </c>
      <c r="I90" s="15" t="n">
        <v>4.2</v>
      </c>
      <c r="J90" s="15" t="n">
        <v>83.94</v>
      </c>
      <c r="K90" s="15" t="n">
        <v>83.94</v>
      </c>
      <c r="L90" s="16" t="n">
        <v>0.1606</v>
      </c>
      <c r="M90" s="16" t="n">
        <v>0.1606</v>
      </c>
      <c r="N90" s="15" t="n">
        <v>16.06</v>
      </c>
      <c r="O90" s="18" t="inlineStr">
        <is>
          <t>FAILED</t>
        </is>
      </c>
      <c r="P90" s="16" t="n">
        <v>0.8394</v>
      </c>
    </row>
    <row r="91">
      <c r="A91" s="12" t="n">
        <v>83</v>
      </c>
      <c r="B91" s="13" t="inlineStr">
        <is>
          <t>Analisis</t>
        </is>
      </c>
      <c r="C91" s="13" t="inlineStr">
        <is>
          <t>google/gemma-4-26b-a4b-it:free</t>
        </is>
      </c>
      <c r="D91" s="14" t="inlineStr">
        <is>
          <t>Mengapa kanal umpan balik dua arah dapat meningkatkan kualitas layanan digital pemerintah dibandingkan komunikasi satu arah?</t>
        </is>
      </c>
      <c r="E91" s="14" t="inlineStr">
        <is>
          <t>Kanal umpan balik dua arah memungkinkan pengguna menyampaikan masukan dan keluhan sehingga layanan digital pemerintah</t>
        </is>
      </c>
      <c r="F91" s="14" t="inlineStr">
        <is>
          <t>Kanal umpan balik dua arah meningkatkan kualitas layanan digital karena:
1.  **Validasi Kebutuhan Riil:** Pemerintah mendapatkan data akurat mengenai masalah pengguna di lapangan, bukan sekadar asumsi pengembang.
2.- **Perbaikan Berkelanjutan (*Continuous Improvement*):** Memungkinkan deteksi *bug* atau hambatan antarmuka secara cepat untuk perbaikan sistem secara iteratif.
3.- **Transparansi &amp; Akuntabilitas:** Meningnya kepercayaan publik karena pengguna merasa didengarkan, sesuai prinsip tata kelola SPBE yang partisipatif.
4.- **Efisiensi Anggaran:** Mengurangi risiko kegagalan implementasi sistem yang tidak tepat guna melalui penyesuaapan berbasis masukan pengguna.</t>
        </is>
      </c>
      <c r="G91" s="15" t="n">
        <v>100</v>
      </c>
      <c r="H91" s="15" t="n">
        <v>11.12</v>
      </c>
      <c r="I91" s="15" t="n">
        <v>4.5</v>
      </c>
      <c r="J91" s="15" t="n">
        <v>90.08</v>
      </c>
      <c r="K91" s="15" t="n">
        <v>90.08</v>
      </c>
      <c r="L91" s="16" t="n">
        <v>0.0992</v>
      </c>
      <c r="M91" s="16" t="n">
        <v>0.0992</v>
      </c>
      <c r="N91" s="15" t="n">
        <v>9.92</v>
      </c>
      <c r="O91" s="17" t="inlineStr">
        <is>
          <t>PASSED</t>
        </is>
      </c>
      <c r="P91" s="16" t="n">
        <v>0.9008</v>
      </c>
    </row>
    <row r="92">
      <c r="A92" s="12" t="n">
        <v>84</v>
      </c>
      <c r="B92" s="13" t="inlineStr">
        <is>
          <t>Faktual</t>
        </is>
      </c>
      <c r="C92" s="13" t="inlineStr">
        <is>
          <t>google/gemma-4-26b-a4b-it:free</t>
        </is>
      </c>
      <c r="D92" s="14" t="inlineStr">
        <is>
          <t>Jelaskan secara umum konsep 'perekaman aktivitas pemrosesan data pribadi'.</t>
        </is>
      </c>
      <c r="E92" s="14" t="inlineStr">
        <is>
          <t>Pencatatan kegiatan pemrosesan data pribadi untuk akuntabilitas.</t>
        </is>
      </c>
      <c r="F92" s="14" t="inlineStr">
        <is>
          <t>Konsep **perekaman aktivitas pemrosesan data pribadi** adalah proses pencatatan seluruh rangkaian kegiatan pengolahan data pribadi (mulai dari perolehan, pengumpulan, pengolahan, analisis, penyimpanan, hingga penghapusan) untuk tujuan audit, transparansi, dan akuntabilitas.
**Poin Utama:**
1.  **Tujuan:** Menjamin kepatuhan terhadap regulasi (seperti UU PDP), mempermudah pelacakan jika terjadi kebocoran data (*data breach*), serta sebagai bukti pemenuhan kewajiban pengendali data.
2.- **Cakupan Rekaman (Log):** Mencakup identitas subjek data, jenis data yang diproses, tujuan pemrosesan, waktu pemrosesan, serta pihak yang mengakses data tersebut.
3.- **Relevansi SPBE:** Dalam tata kelola SPBE, perekaman ini merupakan bagian dari implementasi **Keamanan Informasi** dan **Perlindungan Data Pribadi** untuk memastikan setiap aliran data dalam sistem pemerintah dapat ditelusuri (*traceability*).</t>
        </is>
      </c>
      <c r="G92" s="15" t="n">
        <v>100</v>
      </c>
      <c r="H92" s="15" t="n">
        <v>27.9</v>
      </c>
      <c r="I92" s="15" t="n">
        <v>4.39</v>
      </c>
      <c r="J92" s="15" t="n">
        <v>87.75</v>
      </c>
      <c r="K92" s="15" t="n">
        <v>87.75</v>
      </c>
      <c r="L92" s="16" t="n">
        <v>0.1225</v>
      </c>
      <c r="M92" s="16" t="n">
        <v>0.1225</v>
      </c>
      <c r="N92" s="15" t="n">
        <v>12.25</v>
      </c>
      <c r="O92" s="17" t="inlineStr">
        <is>
          <t>PASSED</t>
        </is>
      </c>
      <c r="P92" s="16" t="n">
        <v>0.8774999999999999</v>
      </c>
    </row>
    <row r="93">
      <c r="A93" s="12" t="n">
        <v>85</v>
      </c>
      <c r="B93" s="13" t="inlineStr">
        <is>
          <t>Faktual</t>
        </is>
      </c>
      <c r="C93" s="13" t="inlineStr">
        <is>
          <t>google/gemma-4-26b-a4b-it:free</t>
        </is>
      </c>
      <c r="D93" s="14" t="inlineStr">
        <is>
          <t>Jelaskan secara umum konsep 'penilaian dampak pelindungan data (DPIA)'.</t>
        </is>
      </c>
      <c r="E93" s="14" t="inlineStr">
        <is>
          <t>Analisis risiko pemrosesan data pribadi sebelum dijalankan.</t>
        </is>
      </c>
      <c r="F93" s="14" t="inlineStr">
        <is>
          <t>**Data Protection Impact Assessment (DPIA)** atau Penilaian Dampak Pelindungan Data adalah proses sistematis untuk mengidentifikasi, menganalisis, dan memitigasi risiko terhadap hak dan kebebasan individu (subjek data) yang timbul dari pemrosesan data pribadi.
**Inti Konsep:**
1.  **Tujuan:** Mencegah terjadinya kebocoran data atau penyalahgunaan data sebelum sistem/proses dijalankan.
2._**Kapan Dilakukan:** Wajib dilakukan ketika terdapat pemrosesan data pribadi yang memiliki **risiko tinggi**, seperti penggunaan teknologi baru (AI/biometrik), pemrosesan data skala besar, atau pemantauan sistematis.
3.**Komponen Utama:**
    *   **Identifikasi Risiko:** Menilai potensi kerugian bagi subjek data (diskriminasi, kerugian finansial, atau pencurian identitas).
    *   **Analisis Dampak:** Mengukur seberapa besar probabilitas dan dampak jika risiko tersebut terjadi.
    *   **Mitigasi:** Menetapkan langkah teknis (enkripsi, anonimisasi) dan organisasional untuk meminimalkan risiko tersebut.
**Relevansi di Indonesia:**
Dalam kerangka tata kelola data pemerintah, DPIA merupakan bentuk kepatuhan terhadap **UU No. 27 Tahun 2022 tentang Pelindungan Data Pribadi (UU PDP)** guna memastikan prinsip akuntabilitas dalam penyelenggaraan SPBE.</t>
        </is>
      </c>
      <c r="G93" s="15" t="n">
        <v>100</v>
      </c>
      <c r="H93" s="15" t="n">
        <v>23.75</v>
      </c>
      <c r="I93" s="15" t="n">
        <v>4.35</v>
      </c>
      <c r="J93" s="15" t="n">
        <v>87.02</v>
      </c>
      <c r="K93" s="15" t="n">
        <v>87.02</v>
      </c>
      <c r="L93" s="16" t="n">
        <v>0.1298</v>
      </c>
      <c r="M93" s="16" t="n">
        <v>0.1298</v>
      </c>
      <c r="N93" s="15" t="n">
        <v>12.98</v>
      </c>
      <c r="O93" s="17" t="inlineStr">
        <is>
          <t>PASSED</t>
        </is>
      </c>
      <c r="P93" s="16" t="n">
        <v>0.8702</v>
      </c>
    </row>
    <row r="94">
      <c r="A94" s="12" t="n">
        <v>86</v>
      </c>
      <c r="B94" s="13" t="inlineStr">
        <is>
          <t>Analisis</t>
        </is>
      </c>
      <c r="C94" s="13" t="inlineStr">
        <is>
          <t>google/gemma-4-26b-a4b-it:free</t>
        </is>
      </c>
      <c r="D94" s="14" t="inlineStr">
        <is>
          <t>Apa hubungan antara literasi digital ASN dengan pencapaian tingkat kematangan pada indikator Sumber Daya Manusia Pemdi?</t>
        </is>
      </c>
      <c r="E94" s="14" t="inlineStr">
        <is>
          <t>Literasi digital yang rendah membatasi kemampuan ASN dalam mengoperasikan dan mengembangkan sistem digital secara optimal</t>
        </is>
      </c>
      <c r="F94" s="14" t="inlineStr">
        <is>
          <t>Hubungan antara literasi digital ASN dengan tingkat kematangan SDM dalam SPBE adalah **hubungan sebab-akibat (kausalitas) yang bersifat langsung.**
Berikut poin-poit utamanya:
1.  **Kompetensi sebagai Penentu Indikator:** Indikator SDM pada evaluasi SPBE mengukur kemampuan ASN dalam mengoperasikan, mengelola, dan memanfaatkan teknologi informasi. Literasi digital adalah fondasi kompetensi tersebut.
2.- **Pendorong Transformasi Digital:** Literasi digital yang tinggi memungkinkan ASN menjalankan proses bisnis berbasis digital (paperless, kolaborasi daring, penggunaan data) secara efektif. Tanpa literasi yang cukup, infrastruktur dan aplikasi canggih tidak akan memberikan nilai guna.
3.- **Korelasi Positif:** Semakin tinggi tingkat literasi digital ASN, semakin tinggi kemampuan mereka dalam mengadopsi sistem baru, mengurangi resistensi terhadap perubahan, dan mempercepat pencapaian target maturitas SPBE di instansi tersebut.
**Kesimpulan:** Literasi digital adalah **variabel penggerak utama** untuk meningkatkan skor pada indikator SDM dalam penilaian tingkat kematangan SPBE.</t>
        </is>
      </c>
      <c r="G94" s="15" t="n">
        <v>100</v>
      </c>
      <c r="H94" s="15" t="n">
        <v>25.23</v>
      </c>
      <c r="I94" s="15" t="n">
        <v>4.46</v>
      </c>
      <c r="J94" s="15" t="n">
        <v>89.28</v>
      </c>
      <c r="K94" s="15" t="n">
        <v>89.28</v>
      </c>
      <c r="L94" s="16" t="n">
        <v>0.1072</v>
      </c>
      <c r="M94" s="16" t="n">
        <v>0.1072</v>
      </c>
      <c r="N94" s="15" t="n">
        <v>10.72</v>
      </c>
      <c r="O94" s="17" t="inlineStr">
        <is>
          <t>PASSED</t>
        </is>
      </c>
      <c r="P94" s="16" t="n">
        <v>0.8928</v>
      </c>
    </row>
    <row r="95">
      <c r="A95" s="12" t="n">
        <v>87</v>
      </c>
      <c r="B95" s="13" t="inlineStr">
        <is>
          <t>Ekstraksi</t>
        </is>
      </c>
      <c r="C95" s="13" t="inlineStr">
        <is>
          <t>google/gemma-4-26b-a4b-it:free</t>
        </is>
      </c>
      <c r="D95" s="14" t="inlineStr">
        <is>
          <t>Sebutkan tiga komponen utama yang umumnya menjadi fokus dalam transformasi Pemerintah Digital.</t>
        </is>
      </c>
      <c r="E95" s="14" t="inlineStr">
        <is>
          <t>Manusia (People / Culture), Proses (Process / Governance), Teknologi (Technology) yang harus berjalan selaras.</t>
        </is>
      </c>
      <c r="F95" s="14" t="inlineStr">
        <is>
          <t>Tiga komponen utama dalam transformasi Pemerintah Digital (berdasarkan kerangka kerja SPBE) adalah:
1. **Kebijakan dan Tata Kelola:** Penyusunan regulasi, standar, dan prosedur operasional untuk memastikan integrasi dan koordinasi antar instansi.
2. **Infrastruktur Digital:** Penyediaan infrastruktur berbagi pakai (seperti Pusat Data Nasional dan jaringan intra pemerintah) untuk efisiensi sumber daya.
3. **Aplikasi dan Data:** Pengembangan aplikasi layanan publik yang terintegrasi serta pengelolaan data yang akurat, aman, dan dapat dibagipakaikan (Satu Data Indonesia).</t>
        </is>
      </c>
      <c r="G95" s="15" t="n">
        <v>100</v>
      </c>
      <c r="H95" s="15" t="n">
        <v>15.27</v>
      </c>
      <c r="I95" s="15" t="n">
        <v>4.36</v>
      </c>
      <c r="J95" s="15" t="n">
        <v>87.09999999999999</v>
      </c>
      <c r="K95" s="15" t="n">
        <v>87.09999999999999</v>
      </c>
      <c r="L95" s="16" t="n">
        <v>0.129</v>
      </c>
      <c r="M95" s="16" t="n">
        <v>0.129</v>
      </c>
      <c r="N95" s="15" t="n">
        <v>12.9</v>
      </c>
      <c r="O95" s="17" t="inlineStr">
        <is>
          <t>PASSED</t>
        </is>
      </c>
      <c r="P95" s="16" t="n">
        <v>0.871</v>
      </c>
    </row>
    <row r="96">
      <c r="A96" s="12" t="n">
        <v>88</v>
      </c>
      <c r="B96" s="13" t="inlineStr">
        <is>
          <t>Faktual</t>
        </is>
      </c>
      <c r="C96" s="13" t="inlineStr">
        <is>
          <t>google/gemma-4-26b-a4b-it:free</t>
        </is>
      </c>
      <c r="D96" s="14" t="inlineStr">
        <is>
          <t>Bagaimana Tim Asesor Eksternal memverifikasi hasil Penilaian Mandiri Pemdi?</t>
        </is>
      </c>
      <c r="E96" s="14" t="inlineStr">
        <is>
          <t>Tim Asesor Eksternal menilai dokumen, melakukan interviu, dan visitasi untuk memverifikasi hasil Penilaian Mandiri.</t>
        </is>
      </c>
      <c r="F96" s="14" t="inlineStr">
        <is>
          <t>Tim Asesor Eksternal memverifikasi hasil Penilaian Mandiri Pemerintah Daerah (Pemda) melalui mekanisme **Audit/Verifikasi Lapangan dan Telaah Dokumen** dengan langkah sebagai berikut:
1.  - **Uji Petik Dokumen (Evidence Check):** Memeriksa kesesua_n antara indikator yang diisi pada instrumen penilaian mandiri dengan bukti dukung (*evidence*) fisik/digital (seperti SK, SOP, Peraturan Kepala Daerah, atau log sistem).
2.  - **Wawancara (Interview):** Melakukan tanya jawab dengan pemangku kepentingan terkait (Diskominfo, Bappeda, atau OPD teknis) untuk memastikan pemahaman dan implementasi kebijakan di lapangan.
3.  - **Observasi/Demo Sistem:** Melakukan demonstrasi langsung terhadap aplikasi atau layanan digital yang diklaim telah berjalan untuk memastikan fungsi dan integrasinya sesuai dengan tingkat kematangan (*maturity level*) yang dilaporkan.
4.  - **Konfirmasi Realisasi:** Memastikan bahwa capaian yang dilaporkan bukan sekadar rencana, melainkan sudah diterapkan dalam tata kelola, layanan, infrastruktur, dan manajemen data.
**Tujuan Utama:** Memastikan nilai indeks yang diinput dalam aplikasi penilaian tidak mengalami *overclaim* (penggelembungan nilai) dan sesuai dengan realitas implementasi SPBE di daerah tersebut.</t>
        </is>
      </c>
      <c r="G96" s="15" t="n">
        <v>100</v>
      </c>
      <c r="H96" s="15" t="n">
        <v>46.54</v>
      </c>
      <c r="I96" s="15" t="n">
        <v>4.4</v>
      </c>
      <c r="J96" s="15" t="n">
        <v>88.03</v>
      </c>
      <c r="K96" s="15" t="n">
        <v>88.03</v>
      </c>
      <c r="L96" s="16" t="n">
        <v>0.1197</v>
      </c>
      <c r="M96" s="16" t="n">
        <v>0.1197</v>
      </c>
      <c r="N96" s="15" t="n">
        <v>11.97</v>
      </c>
      <c r="O96" s="17" t="inlineStr">
        <is>
          <t>PASSED</t>
        </is>
      </c>
      <c r="P96" s="16" t="n">
        <v>0.8803</v>
      </c>
    </row>
    <row r="97">
      <c r="A97" s="12" t="n">
        <v>89</v>
      </c>
      <c r="B97" s="13" t="inlineStr">
        <is>
          <t>Faktual</t>
        </is>
      </c>
      <c r="C97" s="13" t="inlineStr">
        <is>
          <t>google/gemma-4-26b-a4b-it:free</t>
        </is>
      </c>
      <c r="D97" s="14" t="inlineStr">
        <is>
          <t>Apa indikator untuk menilai kompetensi digital ASN dalam layanan digital pemerintah?</t>
        </is>
      </c>
      <c r="E97" s="14" t="inlineStr">
        <is>
          <t>Kompetensi digital ASN meliputi literasi digital, pemanfaatan sistem, pengelolaan data, keamanan digital, kolaborasi digital, etika, dan adaptasi teknologi.</t>
        </is>
      </c>
      <c r="F97" s="14" t="inlineStr">
        <is>
          <t>Berdasarkan kerangka kerja SPBE dan standar kompetensi digital nasional, indikator penilaian kompetensi digital ASN terbagi menjadi tiga domain utama:
**1. Literasi Digital (Digital Literacy)**
*   **Kemampuan Teknis:** Pengoperasian perangkat keras, perangkat lunak, dan sistem aplikasi pemerintah.
*   **Keamanan Digital:** Kemampuan menjaga data sensitif, memahami privasi, dan menerapkan protokol keamanan siber dalam bekerja.
*   **Etika Digital:** Penerapan tata krama dan etika dalam berkomunikasi serta menggunakan media digital.
**2. Kemampuan Manajerial &amp; Strategis (Digital Skills)**
*   **Pengambilan Keputusan Berbasis Data:** Kemampuan menggunakan data dari sistem informasi untuk menyusun kebijakan atau keputusan.
*   - **Adaptasi Teknologi:** Kecepatan dan ketepatan dalam mempelajari dan mengadopsi alat/platform digital baru dalam proses bisnis pemerintah.
**3. Kemampuan Kolaborasi Digital (Digital Collaboration)**
*   **Penggunaan Platform Kolaboratif:** Kemampuan bekerja dalam ekosistem digital (berbagi data, dokumen, dan koordinasi antar instansi melalui sistem terintegrasi).
*   **Interoperabilitas Mental:** Pemahaman bahwa data harus dapat dipertukarkan antar instansi untuk mendukung Satu Data Indonesia.
**Indikator Pengukuran Utama:**
*   **Sertifikasi Kompetensi:** Kepemilikan sertifikat keahlian digital yang relevan.
*   *Literacy Score* dalam asesmen kompetensi digital.
*   **Adopsi Sistem:** Tingkat penggunaan aplikasi layanan digital dalam menjalankan tugas fungsi sehari-hari.</t>
        </is>
      </c>
      <c r="G97" s="15" t="n">
        <v>100</v>
      </c>
      <c r="H97" s="15" t="n">
        <v>33.98</v>
      </c>
      <c r="I97" s="15" t="n">
        <v>4.52</v>
      </c>
      <c r="J97" s="15" t="n">
        <v>90.37</v>
      </c>
      <c r="K97" s="15" t="n">
        <v>90.37</v>
      </c>
      <c r="L97" s="16" t="n">
        <v>0.0963</v>
      </c>
      <c r="M97" s="16" t="n">
        <v>0.0963</v>
      </c>
      <c r="N97" s="15" t="n">
        <v>9.630000000000001</v>
      </c>
      <c r="O97" s="17" t="inlineStr">
        <is>
          <t>PASSED</t>
        </is>
      </c>
      <c r="P97" s="16" t="n">
        <v>0.9036999999999999</v>
      </c>
    </row>
    <row r="98">
      <c r="A98" s="12" t="n">
        <v>90</v>
      </c>
      <c r="B98" s="13" t="inlineStr">
        <is>
          <t>Faktual</t>
        </is>
      </c>
      <c r="C98" s="13" t="inlineStr">
        <is>
          <t>google/gemma-4-26b-a4b-it:free</t>
        </is>
      </c>
      <c r="D98" s="14" t="inlineStr">
        <is>
          <t>Bagaimana forum koordinasi Pemdi membantu kolaborasi antar unit pemerintah dan pihak eksternal?</t>
        </is>
      </c>
      <c r="E98" s="14" t="inlineStr">
        <is>
          <t>Forum koordinasi digunakan untuk pertukaran informasi, peningkatan kapasitas, dan kolaborasi antar instansi pemerintah dan pihak eksternal.</t>
        </is>
      </c>
      <c r="F98" s="14" t="inlineStr">
        <is>
          <t>Forum koordinasi Pemda membantu kolaborasi melalui tiga mekanisme utama:
1.  **Penyelarasan Kebijakan &amp; Program:** Menjadi wadah sinkronisasi rencana kerja antar Organisasi Perangkat Daerah (OPD) agar tidak terjadi duplikasi anggaran dan tumpang tindih aplikasi/layanan.
2.  **Integrasi Data &amp; Layanan:** Memfasilitasi pembagian pakai data (interoperabilitas) antar unit kerja serta koordinasi teknis dalam penerapan Sistem Penghubung Layanan Pemerintah (SPLP).
3.  **Sinergi Multipihak (Pentahelix):** Menjadi jembatan komunikasi dengan pihak eksternal (akademisi, sektor swasta, dan masyarakat) untuk mempercepat implementasi inovasi digital, pembiayaan bersama, atau penyediaan infrastruktur pendukung.</t>
        </is>
      </c>
      <c r="G98" s="15" t="n">
        <v>100</v>
      </c>
      <c r="H98" s="15" t="n">
        <v>6.99</v>
      </c>
      <c r="I98" s="15" t="n">
        <v>4.35</v>
      </c>
      <c r="J98" s="15" t="n">
        <v>86.97</v>
      </c>
      <c r="K98" s="15" t="n">
        <v>86.97</v>
      </c>
      <c r="L98" s="16" t="n">
        <v>0.1303</v>
      </c>
      <c r="M98" s="16" t="n">
        <v>0.1303</v>
      </c>
      <c r="N98" s="15" t="n">
        <v>13.03</v>
      </c>
      <c r="O98" s="17" t="inlineStr">
        <is>
          <t>PASSED</t>
        </is>
      </c>
      <c r="P98" s="16" t="n">
        <v>0.8697</v>
      </c>
    </row>
    <row r="99">
      <c r="A99" s="12" t="n">
        <v>91</v>
      </c>
      <c r="B99" s="13" t="inlineStr">
        <is>
          <t>Faktual</t>
        </is>
      </c>
      <c r="C99" s="13" t="inlineStr">
        <is>
          <t>google/gemma-4-26b-a4b-it:free</t>
        </is>
      </c>
      <c r="D99" s="14" t="inlineStr">
        <is>
          <t>Bagaimana interoperabilitas data mempengaruhi kualitas indeks Pemdi nasional?</t>
        </is>
      </c>
      <c r="E99" s="14" t="inlineStr">
        <is>
          <t>Interoperabilitas data antar sistem memungkinkan pengukuran indeks Pemdi yang menyeluruh dan konsisten.</t>
        </is>
      </c>
      <c r="F99" s="14" t="inlineStr">
        <is>
          <t>Interoperabilitas data berpengaruh **positif dan signifikan** terhadap nilai Indeks SPBE Nasional melalui indikator berikut:
1.  **Domain Layanan Digital:** Data yang terintegrasi memungkinkan layanan publik yang terpadu (*seamless*), mengurangi duplikasi layanan, dan meningkatkan efisiasi proses bisnis antar instansi.
2.el **Domain Data dan Informasi:** Interoperabilitas adalah kunci pemenuhan target **Satu Data Indonesia (SDI)**. Kemampuan berbagi pakai data (via API/Web Service) secara otomatis meningkatkan skor maturitas pengelolaan data.
3.  **Efisiensi Anggaran:** Mengurangi biaya pengadaan data yang sama di berbagai instansi karena data dapat diakses melalui platform berbagi pakai (seperti portal Satu Data).
4.- **Akurasi Pengambilan Kebijakan:** Interoperabilitas memastikan kebijakan berbasis data (*data-driven policy*) dilakukan menggunakan data yang konsisten, mutakhir, dan valid dari berbagai sumber (lintas sektor).
**Kesimpulan:** Semakin tinggi tingkat interoperabilitas data, semakin tinggi nilai maturitas tata kelola dan layanan digital, yang secara langsung meningkatkan skor Indeks SPBE.</t>
        </is>
      </c>
      <c r="G99" s="15" t="n">
        <v>100</v>
      </c>
      <c r="H99" s="15" t="n">
        <v>21.8</v>
      </c>
      <c r="I99" s="15" t="n">
        <v>4.32</v>
      </c>
      <c r="J99" s="15" t="n">
        <v>86.3</v>
      </c>
      <c r="K99" s="15" t="n">
        <v>86.3</v>
      </c>
      <c r="L99" s="16" t="n">
        <v>0.137</v>
      </c>
      <c r="M99" s="16" t="n">
        <v>0.137</v>
      </c>
      <c r="N99" s="15" t="n">
        <v>13.7</v>
      </c>
      <c r="O99" s="17" t="inlineStr">
        <is>
          <t>PASSED</t>
        </is>
      </c>
      <c r="P99" s="16" t="n">
        <v>0.863</v>
      </c>
    </row>
    <row r="100">
      <c r="A100" s="12" t="n">
        <v>92</v>
      </c>
      <c r="B100" s="13" t="inlineStr">
        <is>
          <t>Faktual</t>
        </is>
      </c>
      <c r="C100" s="13" t="inlineStr">
        <is>
          <t>google/gemma-4-26b-a4b-it:free</t>
        </is>
      </c>
      <c r="D100" s="14" t="inlineStr">
        <is>
          <t>Apa metode yang digunakan untuk mengevaluasi pengelolaan data dalam Pemdi?</t>
        </is>
      </c>
      <c r="E100" s="14" t="inlineStr">
        <is>
          <t>Evaluasi pengelolaan data dilakukan melalui kuesioner untuk menilai tata kelola data, metadata, dan interoperabilitas.</t>
        </is>
      </c>
      <c r="F100" s="14" t="inlineStr">
        <is>
          <t>Metode yang digunakan untuk mengevaluasi pengelolaan data dalam SPBE adalah **Evaluasi Tingkat Kematangan (Maturity Level) Data**.
Evaluasi ini mengacu pada instrumrum evaluasi SPBE yang mengukur beberapa aspek utama:
1. **Kebijakan Data:** Ketersediaan aturan tata kelola data.
2. **Kualitas Data:** Akurasi, konsistensi, dan keandalan data.
3. **Keamanan Data:** Perlindungan data dari akses tidak sah.
4. **Interoperabilitas Data:** Kemampuan data untuk dibagikan dan digunakan antar sistem/instansi.
Pengukuran dilakukan menggunakan skala level (biasanya 1-5) untuk menentukan sejauh mana tata kelola data telah terinstitusionalisasi di instansi tersebut.</t>
        </is>
      </c>
      <c r="G100" s="15" t="n">
        <v>100</v>
      </c>
      <c r="H100" s="15" t="n">
        <v>43.74</v>
      </c>
      <c r="I100" s="15" t="n">
        <v>4.36</v>
      </c>
      <c r="J100" s="15" t="n">
        <v>87.14</v>
      </c>
      <c r="K100" s="15" t="n">
        <v>87.14</v>
      </c>
      <c r="L100" s="16" t="n">
        <v>0.1286</v>
      </c>
      <c r="M100" s="16" t="n">
        <v>0.1286</v>
      </c>
      <c r="N100" s="15" t="n">
        <v>12.86</v>
      </c>
      <c r="O100" s="17" t="inlineStr">
        <is>
          <t>PASSED</t>
        </is>
      </c>
      <c r="P100" s="16" t="n">
        <v>0.8714</v>
      </c>
    </row>
    <row r="101">
      <c r="A101" s="12" t="n">
        <v>93</v>
      </c>
      <c r="B101" s="13" t="inlineStr">
        <is>
          <t>Faktual</t>
        </is>
      </c>
      <c r="C101" s="13" t="inlineStr">
        <is>
          <t>google/gemma-4-26b-a4b-it:free</t>
        </is>
      </c>
      <c r="D101" s="14" t="inlineStr">
        <is>
          <t>Bagaimana kriteria penilaian keamanan siber Pemdi diterapkan pada instansi pemerintah?</t>
        </is>
      </c>
      <c r="E101" s="14" t="inlineStr">
        <is>
          <t>Keamanan Pemdi dinilai melalui audit keamanan, penerapan kriptografi, dan kapabilitas penanganan insiden siber.</t>
        </is>
      </c>
      <c r="F101" s="14" t="inlineStr">
        <is>
          <t>Kriteria penilaian keamanan siber pada instansi pemerintah mengacu pada standar **Keamanan Informasi** yang diatur dalam **Peraturan BSSN** dan prinsip **SPBE**. Penilaian diterapkan melalui parameter berikut:
1.  **Tata Kelola (Governance):** Adanya kebijakan, standar, dan prosedur operasional (SOP) keamanan informasi yang disahkan secara resmi.
2.  **Manajemen Risiko:** Kemampuan instansi dalam mengidentifikasi, menganalisis, dan memitigasi risiko keamanan siber pada aset informasi.
3.. **Teknis &amp; Infrastruktur:** Keberadaan teknologi pengamanan (Firewall, IDS/IPS, Antivirus, enkripsi) dan pemantauan melalui *Security Operations Center* (SOC).
4.  **Manajemen Aset &amp; Identitas:** Pengaturan hak akses (Privileged Access Management) dan inventarisasi aset digital secara akurat.
5.  **Resiliensi &amp; Penanganan Insiden:** Keberadaan tim tanggap insiden (CSIRT), rencana pemulihan bencana (*Disaster Recovery Plan*), dan kemampuan deteksi serangan.
6.. **Kepatuhan (Compliance):** Kesesuaian penerapan terhadap standar keamanan informasi nasional (seperti ISO/IEC 27001 atau standar teknis BSSN).
**Metode Penilaian:** Dilakukan melalui audit keamanan informasi, *penetration testing*, serta evaluasi maturitas tata kelola keamanan siber secara berkala.</t>
        </is>
      </c>
      <c r="G101" s="15" t="n">
        <v>100</v>
      </c>
      <c r="H101" s="15" t="n">
        <v>25.3</v>
      </c>
      <c r="I101" s="15" t="n">
        <v>4.38</v>
      </c>
      <c r="J101" s="15" t="n">
        <v>87.67</v>
      </c>
      <c r="K101" s="15" t="n">
        <v>87.67</v>
      </c>
      <c r="L101" s="16" t="n">
        <v>0.1233</v>
      </c>
      <c r="M101" s="16" t="n">
        <v>0.1233</v>
      </c>
      <c r="N101" s="15" t="n">
        <v>12.33</v>
      </c>
      <c r="O101" s="17" t="inlineStr">
        <is>
          <t>PASSED</t>
        </is>
      </c>
      <c r="P101" s="16" t="n">
        <v>0.8767</v>
      </c>
    </row>
    <row r="102">
      <c r="A102" s="12" t="n">
        <v>94</v>
      </c>
      <c r="B102" s="13" t="inlineStr">
        <is>
          <t>Faktual</t>
        </is>
      </c>
      <c r="C102" s="13" t="inlineStr">
        <is>
          <t>google/gemma-4-26b-a4b-it:free</t>
        </is>
      </c>
      <c r="D102" s="14" t="inlineStr">
        <is>
          <t>Bagaimana infrastruktur Pemdi mendukung aplikasi prioritas dan interoperabilitas?</t>
        </is>
      </c>
      <c r="E102" s="14" t="inlineStr">
        <is>
          <t>Infrastruktur Pemdi mendukung aplikasi prioritas melalui perangkat keras, perangkat lunak, dan sistem yang interoperabel.</t>
        </is>
      </c>
      <c r="F102" s="14" t="inlineStr">
        <is>
          <t>Infrastruktur Pemerintah Daerah (Pemda) mendukung aplikasi prioritas dan interoperabilitas melalui tiga pilar utama sesuai kerangka SPBE:
1.  **Pusat Data Nasional (PDN) &amp; Data Center Lokal:** Menyediakan sumber daya komputasi (server, storage, network) yang terpusat untuk menampung aplikasi prioritas secara efisien, aman, dan terstandarisasi guna menghindari duplikasi infrastruktur antar OPD.
2.ekosistem **Jaringan Intra Pemerintah:** Menyediakan konektivitas aman (VPN/Private Network) yang menghubungkan antar instansi, memungkinkan pertukaran data antar aplikasi secara real-time tanpa melalui jaringan internet publik yang berisiko.
3.  **Middleware &amp; API Management:** Penyediaan lapisan integrasi (API Gateway) yang memungkinkan aplikasi yang berbeda bahasa pemrograman atau database dapat saling berkomunikasi (interoperabilitas), sehingga data dapat mengalir antar sistem tanpa kendala teknis.
**Intinya:** Infrastruktur berfungsi sebagai **wadah** (Data Center), **jalur** (Jaringan), dan **penerjemah** (API/Middleware) agar aplikasi dapat berjalan optimal dan saling terhubung.</t>
        </is>
      </c>
      <c r="G102" s="15" t="n">
        <v>100</v>
      </c>
      <c r="H102" s="15" t="n">
        <v>23.6</v>
      </c>
      <c r="I102" s="15" t="n">
        <v>4.36</v>
      </c>
      <c r="J102" s="15" t="n">
        <v>87.22</v>
      </c>
      <c r="K102" s="15" t="n">
        <v>87.22</v>
      </c>
      <c r="L102" s="16" t="n">
        <v>0.1278</v>
      </c>
      <c r="M102" s="16" t="n">
        <v>0.1278</v>
      </c>
      <c r="N102" s="15" t="n">
        <v>12.78</v>
      </c>
      <c r="O102" s="17" t="inlineStr">
        <is>
          <t>PASSED</t>
        </is>
      </c>
      <c r="P102" s="16" t="n">
        <v>0.8722</v>
      </c>
    </row>
    <row r="103">
      <c r="A103" s="12" t="n">
        <v>95</v>
      </c>
      <c r="B103" s="13" t="inlineStr">
        <is>
          <t>Faktual</t>
        </is>
      </c>
      <c r="C103" s="13" t="inlineStr">
        <is>
          <t>google/gemma-4-26b-a4b-it:free</t>
        </is>
      </c>
      <c r="D103" s="14" t="inlineStr">
        <is>
          <t>Bagaimana evaluasi kepuasan pengguna layanan digital dilakukan di instansi pemerintah?</t>
        </is>
      </c>
      <c r="E103" s="14" t="inlineStr">
        <is>
          <t>Kepuasan pengguna diukur melalui fasilitas dukungan dan pengelolaan umpan balik untuk meningkatkan layanan digital.</t>
        </is>
      </c>
      <c r="F103" s="14" t="inlineStr">
        <is>
          <t>Evaluasi kepuasan pengguna layanan digital di instansi pemerintah dilakukan melalui mekanisme berikut:
1.  **Metode Pengumpulan Data:**
    *   **Survei Digital:** Menggunakan kuesioner daring (seperti Google Forms atau sistem internal) yang disematkan pada aplikasi/portal layanan.
    *   **Indeks Kepuasan Masyarakat (IKM):** Berdasarkan **Permenpan RB Nomor 14 Tahun 2017**, mengukur unsur kemudahan, kecepatan, biaya, dan perilaku petugas.
    *   *Feedback Loop:* Fitur rating atau kolom komentar langsung pada antarmuka layanan digital.
2.er **Parameter Pengukuran (Key Metrics):**
    *   **Usability:** Kemudahan navigasi dan penggunaan fitur.
    *   **Reliability:** Keandalan sistem (minim *error* atau *downtime*).
    *   **Responsiveness:** Kecepatan sistem dalam merespons input pengguna.
    *   **Accessibility:** Kemudahan akses dari berbagai perangkat dan inklusivitas bagi disabilitas.
3.  **Tahapan Evaluasi:**
    *   **Pengumpulan:** Mengambil data riwayat transaksi dan hasil survei.
    *   *Analysis:* Membandingkan hasil dengan target standar pelayanan minimal (SPM).
    *   **Tindak Lanjut:** Hasil evaluasi wajib menjadi dasar **perbaikan berkelanjutan (*continuous improvement*)** terhadap arsitektur dan desain layanan digital sesuai prinsip tata kelola SPBE.</t>
        </is>
      </c>
      <c r="G103" s="15" t="n">
        <v>100</v>
      </c>
      <c r="H103" s="15" t="n">
        <v>47.87</v>
      </c>
      <c r="I103" s="15" t="n">
        <v>4.36</v>
      </c>
      <c r="J103" s="15" t="n">
        <v>87.15000000000001</v>
      </c>
      <c r="K103" s="15" t="n">
        <v>87.15000000000001</v>
      </c>
      <c r="L103" s="16" t="n">
        <v>0.1285</v>
      </c>
      <c r="M103" s="16" t="n">
        <v>0.1285</v>
      </c>
      <c r="N103" s="15" t="n">
        <v>12.85</v>
      </c>
      <c r="O103" s="17" t="inlineStr">
        <is>
          <t>PASSED</t>
        </is>
      </c>
      <c r="P103" s="16" t="n">
        <v>0.8715000000000001</v>
      </c>
    </row>
    <row r="104">
      <c r="A104" s="12" t="n">
        <v>96</v>
      </c>
      <c r="B104" s="13" t="inlineStr">
        <is>
          <t>Faktual</t>
        </is>
      </c>
      <c r="C104" s="13" t="inlineStr">
        <is>
          <t>google/gemma-4-26b-a4b-it:free</t>
        </is>
      </c>
      <c r="D104" s="14" t="inlineStr">
        <is>
          <t>Apa langkah evaluasi pemanfaatan data geospasial untuk mendukung perencanaan pemerintah?</t>
        </is>
      </c>
      <c r="E104" s="14" t="inlineStr">
        <is>
          <t>Evaluasi data geospasial memastikan data akurat, terintegrasi, dan mendukung layanan digital pemerintah.</t>
        </is>
      </c>
      <c r="F104" s="14" t="inlineStr">
        <is>
          <t>Langkah evaluasi pemanfaatan data geospasial dalam mendukung perencanaan pemerintah adalah:
1.  **Audit Ketersediaan &amp; Integrasi Data:** Memeriksa ketersediaan data geospasial pada kebijakan Satu Peta (*One Map Policy*) dan sejauh mana data tersebut telah terintegrasi dalam sistem informasi perencanaan (seperti SIPD).
2./ **Uji Relevansi Data:** Menilai kesesuaian atribut dan akurasi spasial data geospasial dengan variabel indikator perencanaan pembangunan (misalnya: data tutupan lahan untuk perencanaan tata ruang atau data kemiskinan berbasis lokasi).
3.  **Analisis Pemanfaatan (Usage Analysis):** Mengevaluasi frekuensi dan intensitas penggunaan data geospasial dalam penyusunan dokumen perencanaan (RPJP/RPJM/RKPD) serta pengambilan keputusan berbasis spasial.
4.  **Evaluasi Kualitas &amp; Standar Data:** Memastikan data memenuhi standar interoperabilitas, metadata, dan menggunakan referensi koordinat yang seragam sesuai standar Badan Informasi Geospasial (BIG).
5.  **Penilaian Dampak (Impact Assessment):** Mengukur efektiv pengunaan data geospasial dalam mengurangi tumpang tindih pemanfaatan ruang dan meningkatkan akurasi target pembangunan wilayah.</t>
        </is>
      </c>
      <c r="G104" s="15" t="n">
        <v>100</v>
      </c>
      <c r="H104" s="15" t="n">
        <v>20.1</v>
      </c>
      <c r="I104" s="15" t="n">
        <v>4.43</v>
      </c>
      <c r="J104" s="15" t="n">
        <v>88.58</v>
      </c>
      <c r="K104" s="15" t="n">
        <v>88.58</v>
      </c>
      <c r="L104" s="16" t="n">
        <v>0.1142</v>
      </c>
      <c r="M104" s="16" t="n">
        <v>0.1142</v>
      </c>
      <c r="N104" s="15" t="n">
        <v>11.42</v>
      </c>
      <c r="O104" s="17" t="inlineStr">
        <is>
          <t>PASSED</t>
        </is>
      </c>
      <c r="P104" s="16" t="n">
        <v>0.8858</v>
      </c>
    </row>
    <row r="105">
      <c r="A105" s="12" t="n">
        <v>97</v>
      </c>
      <c r="B105" s="13" t="inlineStr">
        <is>
          <t>Faktual</t>
        </is>
      </c>
      <c r="C105" s="13" t="inlineStr">
        <is>
          <t>google/gemma-4-26b-a4b-it:free</t>
        </is>
      </c>
      <c r="D105" s="14" t="inlineStr">
        <is>
          <t>Bagaimana tata kelola statistik sektoral digunakan untuk mendukung laporan nasional?</t>
        </is>
      </c>
      <c r="E105" s="14" t="inlineStr">
        <is>
          <t>Indikator Pembangunan Statistik memastikan unit kerja menghasilkan data akurat dan terintegrasi untuk laporan nasional.</t>
        </is>
      </c>
      <c r="F105" s="14" t="inlineStr">
        <is>
          <t>Tata kelola statistik sektoral mendukung laporan nasional melalui mekanisme **Satu Data Indonesia (SDI)** dengan tahapan sebagai berikut:
1.  **Standardisasi &amp; Metadata:** Instansi Pusat/Daerah wajib menerapkan standar data dan metadata yang seragam agar data antar-instansi dapat diintegrasi dan dibandingkan.
2.   unprepared **Produksi Data (Produsen Data):** Instansi sektoral menghasilkan data yang akurat dan valid sesuai dengan prinsip Satu Data Indonesia.
3.  **Validasi &amp; Verifikasi (Walidata):** Badan/Lembaga/Unit (BLU) melakukan validasi terhadap data yang dihasilkan produsen data untuk menjamin kualitas dan interoperabilitas.
4.  **Integrasi &amp; Diseminasi (Pembina Data):** Badan Pusat Statistik (BPS) selaku pembina data memastikan data tersebut terintegrasi ke dalam platform Satu Data Indonesia.
5.  **Konsolidasi Laporan:** Data yang telah terstandardisasi dan terverifikasi digunakan sebagai basis tunggal dalam penyusunan laporan nasional (seperti capaian SDGs, indeks pembangunan, atau perencanaan pembangunan nasional) guna menghindari perbedaan angka antar-instansi.</t>
        </is>
      </c>
      <c r="G105" s="15" t="n">
        <v>100</v>
      </c>
      <c r="H105" s="15" t="n">
        <v>26.18</v>
      </c>
      <c r="I105" s="15" t="n">
        <v>4.37</v>
      </c>
      <c r="J105" s="15" t="n">
        <v>87.39</v>
      </c>
      <c r="K105" s="15" t="n">
        <v>87.39</v>
      </c>
      <c r="L105" s="16" t="n">
        <v>0.1261</v>
      </c>
      <c r="M105" s="16" t="n">
        <v>0.1261</v>
      </c>
      <c r="N105" s="15" t="n">
        <v>12.61</v>
      </c>
      <c r="O105" s="17" t="inlineStr">
        <is>
          <t>PASSED</t>
        </is>
      </c>
      <c r="P105" s="16" t="n">
        <v>0.8739</v>
      </c>
    </row>
    <row r="106">
      <c r="A106" s="12" t="n">
        <v>98</v>
      </c>
      <c r="B106" s="13" t="inlineStr">
        <is>
          <t>Faktual</t>
        </is>
      </c>
      <c r="C106" s="13" t="inlineStr">
        <is>
          <t>google/gemma-4-26b-a4b-it:free</t>
        </is>
      </c>
      <c r="D106" s="14" t="inlineStr">
        <is>
          <t>Apa tujuan prosedur reviu Arsitektur Pemdi?</t>
        </is>
      </c>
      <c r="E106" s="14" t="inlineStr">
        <is>
          <t>Reviu Arsitektur Pemdi dilakukan untuk memastikan transformasi digital berjalan terpadu sesuai pedoman.</t>
        </is>
      </c>
      <c r="F106" s="14" t="inlineStr">
        <is>
          <t>Tujuan prosedur reviu Arsitektur Pemda adalah:
1. **Memastikan Keselarasan:** Menjamin arsitektur selaras dengan Rencana Pembangunan Jangka Menengah Daerah (RPJMD) dan kerangka kerja Arsitektur SPBE Nasional.
2. **Validasi Kualitas:** Memastikan struktur domain (proses bisnis, data, aplikasi, infrastruktur, keamanan, dan layanan) telah disusun secara logis, konsisten, dan memenuhi standar teknis.
3. **Mitigasi Risiko:** Mengidentifikasi potensi tumpang tindih fungsi, duplikasi aplikasi, atau celah integrasi antar instansi sebelum diimplementasikan.
4. **Dasar Pengambilan Keputusan:** Menyediakan basis data yang akurat untuk perencanaan belanja teknologi informasi dan pengembangan sistem informasi daerah yang terintegrasi.</t>
        </is>
      </c>
      <c r="G106" s="15" t="n">
        <v>100</v>
      </c>
      <c r="H106" s="15" t="n">
        <v>5.74</v>
      </c>
      <c r="I106" s="15" t="n">
        <v>4.43</v>
      </c>
      <c r="J106" s="15" t="n">
        <v>88.64</v>
      </c>
      <c r="K106" s="15" t="n">
        <v>88.64</v>
      </c>
      <c r="L106" s="16" t="n">
        <v>0.1136</v>
      </c>
      <c r="M106" s="16" t="n">
        <v>0.1136</v>
      </c>
      <c r="N106" s="15" t="n">
        <v>11.36</v>
      </c>
      <c r="O106" s="17" t="inlineStr">
        <is>
          <t>PASSED</t>
        </is>
      </c>
      <c r="P106" s="16" t="n">
        <v>0.8864</v>
      </c>
    </row>
    <row r="107">
      <c r="A107" s="12" t="n">
        <v>99</v>
      </c>
      <c r="B107" s="13" t="inlineStr">
        <is>
          <t>Ekstraksi</t>
        </is>
      </c>
      <c r="C107" s="13" t="inlineStr">
        <is>
          <t>google/gemma-4-26b-a4b-it:free</t>
        </is>
      </c>
      <c r="D107" s="14" t="inlineStr">
        <is>
          <t>Sebutkan tiga metode yang umum digunakan untuk mengelola ketidakpastian dalam perencanaan Pemerintah Digital.</t>
        </is>
      </c>
      <c r="E107" s="14" t="inlineStr">
        <is>
          <t>Analisis skenario, simulasi Monte Carlo, dan forecasting.</t>
        </is>
      </c>
      <c r="F107" s="14" t="inlineStr">
        <is>
          <t>Tiga metode yang umum digunakan untuk mengelola ketidakpastian dalam perencanaan Pemerintah Digital adalah:
1.  **Scenario Planning (Perencanaan Skenario):** Menyusun berbagai kemungkinan masa depan untuk menyiapkan strategi respons yang fleksibel.
2.thought **Agile Planning (Perencanaan Agile):** Melakukan perencanaan dalam siklus pendek (iteratif) agar dapat segera beradaptasi terhadap perubahan teknologi dan kebutuhan pengguna.
3.  **Risk-Based Planning (Perencanaan Berbasis Risiko):** Mengidentifikasi potensi hambatan (teknis, regulasi, atau SDM) sejak dini dan menyiapkan mitigasi untuk meminimalkan ketidakpastian.</t>
        </is>
      </c>
      <c r="G107" s="15" t="n">
        <v>100</v>
      </c>
      <c r="H107" s="15" t="n">
        <v>8.880000000000001</v>
      </c>
      <c r="I107" s="15" t="n">
        <v>4.4</v>
      </c>
      <c r="J107" s="15" t="n">
        <v>87.93000000000001</v>
      </c>
      <c r="K107" s="15" t="n">
        <v>87.93000000000001</v>
      </c>
      <c r="L107" s="16" t="n">
        <v>0.1207</v>
      </c>
      <c r="M107" s="16" t="n">
        <v>0.1207</v>
      </c>
      <c r="N107" s="15" t="n">
        <v>12.07</v>
      </c>
      <c r="O107" s="17" t="inlineStr">
        <is>
          <t>PASSED</t>
        </is>
      </c>
      <c r="P107" s="16" t="n">
        <v>0.8793</v>
      </c>
    </row>
    <row r="108">
      <c r="A108" s="12" t="n">
        <v>100</v>
      </c>
      <c r="B108" s="13" t="inlineStr">
        <is>
          <t>Faktual</t>
        </is>
      </c>
      <c r="C108" s="13" t="inlineStr">
        <is>
          <t>google/gemma-4-26b-a4b-it:free</t>
        </is>
      </c>
      <c r="D108" s="14" t="inlineStr">
        <is>
          <t>Bagaimana mekanisme tindak lanjut hasil reviu Pemdi dijalankan untuk meningkatkan layanan digital?</t>
        </is>
      </c>
      <c r="E108" s="14" t="inlineStr">
        <is>
          <t>Hasil reviu ditindaklanjuti melalui penerapan perbaikan dan peningkatan layanan digital sesuai pedoman.</t>
        </is>
      </c>
      <c r="F108" s="14" t="inlineStr">
        <is>
          <t>Mekanisme tindak lanjut hasil reviu Pemda (Pemerintah Daerah) dalam rangka meningkatkan layanan digital dilakukan melalui tahapan berikut:
1.- **Penyusunan Rencana Aksi:** Pemerintah Daerah wajib menyusun dokumen rencana aksi yang memuat langkah-langkah perbaikan berdasarkan temuan/rekomendasi hasil reviu (aspek tata kelola, layanan, infrastruktur, atau aplikasi).
2.- **Alokasi Anggaran dan Sumber Daya:** Memasukkan poin-poin rekomendasi reviu ke dalam dokumen perencanaan pembangunan (RKPD) dan penganggaran (APBD) untuk memastikan ketersediaan dana dan SDM.
3.- **Implementasi Perbaikan:** 
   - **Tata Kelola:** Perbaikan regulasi (Perkada/Perda) dan struktur organisasi.
   - **Layanan:** Integrasi aplikasi (interoperabilitas) dan migrasi ke Sistem Pemerintahan Berbasis Elektronik (SPBE) yang terpadu/terintegrasi.
   - **Infrastruktur:** Penguatan Pusat Data Nasional (PDN) atau pusat data daerah.
4.- **Monitoring dan Evaluasi Berkala:** Melakukan pemantauan secara periodik terhadap progres pelaksanaan rencana aksi untuk memastikan rekomendasi telah dijalankan.
5.- **Pelaporan:** Melaporkan progres tindak lanjut kepada instansi pembina (Kemenpan-RB/Kemenkominfo/Bappenas) sebagai bagian dari siklus evaluasi indeks SPBE tahun berikutnya.</t>
        </is>
      </c>
      <c r="G108" s="15" t="n">
        <v>100</v>
      </c>
      <c r="H108" s="15" t="n">
        <v>15.57</v>
      </c>
      <c r="I108" s="15" t="n">
        <v>4.37</v>
      </c>
      <c r="J108" s="15" t="n">
        <v>87.47</v>
      </c>
      <c r="K108" s="15" t="n">
        <v>87.47</v>
      </c>
      <c r="L108" s="16" t="n">
        <v>0.1253</v>
      </c>
      <c r="M108" s="16" t="n">
        <v>0.1253</v>
      </c>
      <c r="N108" s="15" t="n">
        <v>12.53</v>
      </c>
      <c r="O108" s="17" t="inlineStr">
        <is>
          <t>PASSED</t>
        </is>
      </c>
      <c r="P108" s="16" t="n">
        <v>0.8747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2026-07-06T04:04:55Z</dcterms:created>
  <dcterms:modified xsi:type="dcterms:W3CDTF">2026-07-06T04:04:55Z</dcterms:modified>
</cp:coreProperties>
</file>