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 Perbandingan" sheetId="2" state="visible" r:id="rId2"/>
  </sheets>
  <definedNames/>
  <calcPr calcId="124519" fullCalcOnLoad="1"/>
</workbook>
</file>

<file path=xl/styles.xml><?xml version="1.0" encoding="utf-8"?>
<styleSheet xmlns="http://schemas.openxmlformats.org/spreadsheetml/2006/main">
  <numFmts count="2">
    <numFmt numFmtId="164" formatCode="0.00&quot;%&quot;"/>
    <numFmt numFmtId="165" formatCode="0.0000"/>
  </numFmts>
  <fonts count="6">
    <font>
      <name val="Calibri"/>
      <family val="2"/>
      <color theme="1"/>
      <sz val="11"/>
      <scheme val="minor"/>
    </font>
    <font>
      <name val="Calibri"/>
      <b val="1"/>
      <color rgb="001F497D"/>
      <sz val="16"/>
    </font>
    <font>
      <name val="Calibri"/>
      <sz val="11"/>
    </font>
    <font>
      <name val="Calibri"/>
      <b val="1"/>
      <color rgb="001F497D"/>
      <sz val="12"/>
    </font>
    <font>
      <name val="Calibri"/>
      <b val="1"/>
      <color rgb="00FFFFFF"/>
      <sz val="11"/>
    </font>
    <font>
      <name val="Calibri"/>
      <b val="1"/>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5" fillId="3" borderId="1" pivotButton="0" quotePrefix="0" xfId="0"/>
    <xf numFmtId="0" fontId="5" fillId="4" borderId="1" pivotButton="0" quotePrefix="0" xfId="0"/>
    <xf numFmtId="164" fontId="5" fillId="0" borderId="1" pivotButton="0" quotePrefix="0" xfId="0"/>
    <xf numFmtId="2" fontId="5"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2" fontId="2" fillId="0" borderId="1" applyAlignment="1" pivotButton="0" quotePrefix="0" xfId="0">
      <alignment horizontal="right" vertical="top"/>
    </xf>
    <xf numFmtId="165" fontId="2" fillId="0" borderId="1" applyAlignment="1" pivotButton="0" quotePrefix="0" xfId="0">
      <alignment horizontal="right" vertical="top"/>
    </xf>
    <xf numFmtId="0" fontId="5"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12" customWidth="1" min="1" max="1"/>
    <col width="45" customWidth="1" min="2" max="2"/>
    <col width="53" customWidth="1" min="3" max="3"/>
  </cols>
  <sheetData>
    <row r="1"/>
    <row r="2">
      <c r="B2" s="1" t="inlineStr">
        <is>
          <t>LAPORAN EVALUASI PERFORMA LLM (BASELINE)</t>
        </is>
      </c>
    </row>
    <row r="3">
      <c r="B3" s="2" t="inlineStr">
        <is>
          <t>Nama Pengujian: Skenario 1 - Baseline LLM</t>
        </is>
      </c>
    </row>
    <row r="4">
      <c r="B4" s="2" t="inlineStr">
        <is>
          <t>Terakhir Diperbarui: 2026-07-03 15:38:06</t>
        </is>
      </c>
    </row>
    <row r="5"/>
    <row r="6">
      <c r="B6" s="3" t="inlineStr">
        <is>
          <t>Ringkasan Statistik Utama</t>
        </is>
      </c>
    </row>
    <row r="7">
      <c r="B7" s="4" t="inlineStr">
        <is>
          <t>Metrik Pengujian</t>
        </is>
      </c>
      <c r="C7" s="4" t="inlineStr">
        <is>
          <t>Rata-rata / Total Nilai</t>
        </is>
      </c>
    </row>
    <row r="8">
      <c r="B8" s="5" t="inlineStr">
        <is>
          <t>Total Kasus Uji</t>
        </is>
      </c>
      <c r="C8" s="6" t="n">
        <v>100</v>
      </c>
    </row>
    <row r="9">
      <c r="B9" s="5" t="inlineStr">
        <is>
          <t>Total Passed (&gt;= 0.85)</t>
        </is>
      </c>
      <c r="C9" s="7">
        <f>COUNTIF('Detail Perbandingan'!O9:O108, "PASSED")</f>
        <v/>
      </c>
    </row>
    <row r="10">
      <c r="B10" s="5" t="inlineStr">
        <is>
          <t>Total Failed (&lt; 0.85)</t>
        </is>
      </c>
      <c r="C10" s="8">
        <f>COUNTIF('Detail Perbandingan'!O9:O108, "FAILED")</f>
        <v/>
      </c>
    </row>
    <row r="11">
      <c r="B11" s="5" t="inlineStr">
        <is>
          <t>Rata-rata Accuracy (%)</t>
        </is>
      </c>
      <c r="C11" s="9">
        <f>AVERAGE('Detail Perbandingan'!G9:G108)</f>
        <v/>
      </c>
    </row>
    <row r="12">
      <c r="B12" s="5" t="inlineStr">
        <is>
          <t>Rata-rata Response Time (s)</t>
        </is>
      </c>
      <c r="C12" s="10">
        <f>AVERAGE('Detail Perbandingan'!H9:H108)</f>
        <v/>
      </c>
    </row>
    <row r="13">
      <c r="B13" s="5" t="inlineStr">
        <is>
          <t>Rata-rata G-Eval (1-5)</t>
        </is>
      </c>
      <c r="C13" s="10">
        <f>AVERAGE('Detail Perbandingan'!I9:I108)</f>
        <v/>
      </c>
    </row>
    <row r="14">
      <c r="B14" s="5" t="inlineStr">
        <is>
          <t>Rata-rata AR Score</t>
        </is>
      </c>
      <c r="C14" s="10">
        <f>AVERAGE('Detail Perbandingan'!J9:J108)</f>
        <v/>
      </c>
    </row>
    <row r="15">
      <c r="B15" s="5" t="inlineStr">
        <is>
          <t>Rata-rata Fact-Checking (%)</t>
        </is>
      </c>
      <c r="C15" s="9">
        <f>AVERAGE('Detail Perbandingan'!K9:K108)</f>
        <v/>
      </c>
    </row>
    <row r="16">
      <c r="B16" s="5" t="inlineStr">
        <is>
          <t>Rata-rata MAE</t>
        </is>
      </c>
      <c r="C16" s="10">
        <f>AVERAGE('Detail Perbandingan'!L9:L108)</f>
        <v/>
      </c>
    </row>
    <row r="17">
      <c r="B17" s="5" t="inlineStr">
        <is>
          <t>Rata-rata RMSE</t>
        </is>
      </c>
      <c r="C17" s="10">
        <f>AVERAGE('Detail Perbandingan'!M9:M108)</f>
        <v/>
      </c>
    </row>
    <row r="18">
      <c r="B18" s="5" t="inlineStr">
        <is>
          <t>Rata-rata MAPE (%)</t>
        </is>
      </c>
      <c r="C18" s="9">
        <f>AVERAGE('Detail Perbandingan'!N9:N108)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showGridLines="1" workbookViewId="0">
      <pane ySplit="8" topLeftCell="A9" activePane="bottomLeft" state="frozen"/>
      <selection pane="bottomLeft" activeCell="A1" sqref="A1"/>
    </sheetView>
  </sheetViews>
  <sheetFormatPr baseColWidth="8" defaultRowHeight="15"/>
  <cols>
    <col width="10" customWidth="1" min="1" max="1"/>
    <col width="14" customWidth="1" min="2" max="2"/>
    <col width="28" customWidth="1" min="3" max="3"/>
    <col width="35" customWidth="1" min="4" max="4"/>
    <col width="40" customWidth="1" min="5" max="5"/>
    <col width="45" customWidth="1" min="6" max="6"/>
    <col width="25" customWidth="1" min="7" max="7"/>
    <col width="21" customWidth="1" min="8" max="8"/>
    <col width="16" customWidth="1" min="9" max="9"/>
    <col width="12" customWidth="1" min="10" max="10"/>
    <col width="21" customWidth="1" min="11" max="11"/>
    <col width="12" customWidth="1" min="12" max="12"/>
    <col width="12" customWidth="1" min="13" max="13"/>
    <col width="12" customWidth="1" min="14" max="14"/>
    <col width="19" customWidth="1" min="15" max="15"/>
    <col width="20" customWidth="1" min="16" max="16"/>
  </cols>
  <sheetData>
    <row r="1"/>
    <row r="2">
      <c r="A2" s="1" t="inlineStr">
        <is>
          <t>DATA DETAIL HASIL EVALUASI PER NOMOR SOAL</t>
        </is>
      </c>
    </row>
    <row r="3"/>
    <row r="4"/>
    <row r="5"/>
    <row r="6"/>
    <row r="7"/>
    <row r="8">
      <c r="A8" s="11" t="inlineStr">
        <is>
          <t>No Soal</t>
        </is>
      </c>
      <c r="B8" s="11" t="inlineStr">
        <is>
          <t>Tipe Query</t>
        </is>
      </c>
      <c r="C8" s="11" t="inlineStr">
        <is>
          <t>Model LLM</t>
        </is>
      </c>
      <c r="D8" s="11" t="inlineStr">
        <is>
          <t>Query</t>
        </is>
      </c>
      <c r="E8" s="11" t="inlineStr">
        <is>
          <t>Expected Output</t>
        </is>
      </c>
      <c r="F8" s="11" t="inlineStr">
        <is>
          <t>Hasil (Actual Output)</t>
        </is>
      </c>
      <c r="G8" s="11" t="inlineStr">
        <is>
          <t>Pipeline Accuracy (%)</t>
        </is>
      </c>
      <c r="H8" s="11" t="inlineStr">
        <is>
          <t>Response Time (s)</t>
        </is>
      </c>
      <c r="I8" s="11" t="inlineStr">
        <is>
          <t>G-Eval (1-5)</t>
        </is>
      </c>
      <c r="J8" s="11" t="inlineStr">
        <is>
          <t>AR Score</t>
        </is>
      </c>
      <c r="K8" s="11" t="inlineStr">
        <is>
          <t>Fact-Checking (%)</t>
        </is>
      </c>
      <c r="L8" s="11" t="inlineStr">
        <is>
          <t>MAE</t>
        </is>
      </c>
      <c r="M8" s="11" t="inlineStr">
        <is>
          <t>RMSE</t>
        </is>
      </c>
      <c r="N8" s="11" t="inlineStr">
        <is>
          <t>MAPE (%)</t>
        </is>
      </c>
      <c r="O8" s="11" t="inlineStr">
        <is>
          <t>Status Evaluasi</t>
        </is>
      </c>
      <c r="P8" s="11" t="inlineStr">
        <is>
          <t>Skor Aktual (E5)</t>
        </is>
      </c>
    </row>
    <row r="9">
      <c r="A9" s="12" t="n">
        <v>1</v>
      </c>
      <c r="B9" s="13" t="inlineStr">
        <is>
          <t>Faktual</t>
        </is>
      </c>
      <c r="C9" s="13" t="inlineStr">
        <is>
          <t>google/gemma-4-26b-a4b-it:free</t>
        </is>
      </c>
      <c r="D9" s="14" t="inlineStr">
        <is>
          <t>Apa kepanjangan dari SPBE dalam tata kelola pemerintahan Indonesia?</t>
        </is>
      </c>
      <c r="E9" s="14" t="inlineStr">
        <is>
          <t>Sistem Pemerintahan Berbasis Elektronik.</t>
        </is>
      </c>
      <c r="F9" s="14" t="inlineStr">
        <is>
          <t>**Sistem Pemerintahan Berbasis Elektronik.**</t>
        </is>
      </c>
      <c r="G9" s="15" t="n">
        <v>100</v>
      </c>
      <c r="H9" s="15" t="n">
        <v>3.15</v>
      </c>
      <c r="I9" s="15" t="n">
        <v>4.79</v>
      </c>
      <c r="J9" s="15" t="n">
        <v>95.8</v>
      </c>
      <c r="K9" s="15" t="n">
        <v>95.8</v>
      </c>
      <c r="L9" s="16" t="n">
        <v>0.042</v>
      </c>
      <c r="M9" s="16" t="n">
        <v>0.042</v>
      </c>
      <c r="N9" s="15" t="n">
        <v>4.2</v>
      </c>
      <c r="O9" s="17" t="inlineStr">
        <is>
          <t>PASSED</t>
        </is>
      </c>
      <c r="P9" s="16" t="n">
        <v>0.958</v>
      </c>
    </row>
    <row r="10">
      <c r="A10" s="12" t="n">
        <v>2</v>
      </c>
      <c r="B10" s="13" t="inlineStr">
        <is>
          <t>Faktual</t>
        </is>
      </c>
      <c r="C10" s="13" t="inlineStr">
        <is>
          <t>google/gemma-4-26b-a4b-it:free</t>
        </is>
      </c>
      <c r="D10" s="14" t="inlineStr">
        <is>
          <t>Secara umum, apa yang dimaksud dengan transformasi digital pemerintah?</t>
        </is>
      </c>
      <c r="E10" s="14" t="inlineStr">
        <is>
          <t>Pemanfaatan data dan teknologi digital untuk meningkatkan kualitas layanan dan tata kelola pemerintahan.</t>
        </is>
      </c>
      <c r="F10" s="14" t="inlineStr">
        <is>
          <t>Transformasi digital pemerintah adalah perubahan fundamental dalam tata kelola pemerintahan melalui pemanfaatan teknologi digital untuk mengubah **proses bisnis, layanan publik, dan budaya kerja** guna meningkatkan efisi-ensi, efektivitas, dan kualitas pelayanan kepada masyarakat secara terintegrasi.
Dalam konteks Indonesia (berdasarkan kerangka SPBE), ini bukan sekadar digitalisasi dokumen (mengubah kertas menjadi PDF), melainkan **integrasi sistem dan data** antar instansi pemerintah untuk menciptakan ekosistem digital yang terpadu dan efisien.</t>
        </is>
      </c>
      <c r="G10" s="15" t="n">
        <v>100</v>
      </c>
      <c r="H10" s="15" t="n">
        <v>10.25</v>
      </c>
      <c r="I10" s="15" t="n">
        <v>4.3</v>
      </c>
      <c r="J10" s="15" t="n">
        <v>86.08</v>
      </c>
      <c r="K10" s="15" t="n">
        <v>86.08</v>
      </c>
      <c r="L10" s="16" t="n">
        <v>0.1392</v>
      </c>
      <c r="M10" s="16" t="n">
        <v>0.1392</v>
      </c>
      <c r="N10" s="15" t="n">
        <v>13.92</v>
      </c>
      <c r="O10" s="17" t="inlineStr">
        <is>
          <t>PASSED</t>
        </is>
      </c>
      <c r="P10" s="16" t="n">
        <v>0.8608</v>
      </c>
    </row>
    <row r="11">
      <c r="A11" s="12" t="n">
        <v>3</v>
      </c>
      <c r="B11" s="13" t="inlineStr">
        <is>
          <t>Faktual</t>
        </is>
      </c>
      <c r="C11" s="13" t="inlineStr">
        <is>
          <t>google/gemma-4-26b-a4b-it:free</t>
        </is>
      </c>
      <c r="D11" s="14" t="inlineStr">
        <is>
          <t>Apa tujuan utama dari kebijakan Satu Data Indonesia (SDI)?</t>
        </is>
      </c>
      <c r="E11" s="14" t="inlineStr">
        <is>
          <t>Mewujudkan data pemerintah yang akurat, mutakhir, terpadu, dan dapat diakses sebagai dasar perencanaan dan pengambilan keputusan.</t>
        </is>
      </c>
      <c r="F11" s="14" t="inlineStr">
        <is>
          <t>Tujuan utama kebijakan **Satu Data Indonesia (SDI)** adalah:
1.  **Mewujudkan Satu Data Indonesia:** Menjamin data yang dihasilkan oleh pemerintah memenuhi standar data, metadata, interoperabilitas, dan menggunakan kode referensi/data induk yang telah ditetapkan.
2.  *Integration &amp; Interoperability:* Memungkinkan pertukaran data antar instansi pemerintah secara akurat dan efisien.
3.  **Mendukung Pengambilan Keputusan:** Menyediakan data yang akurat, mutakhir, dan terintegrasi sebagai dasar perencanaan, pelaksanaan, dan evaluasi pembangunan nasional.
4.  **Transparansi &amp; Akuntabilitas:** Mempermudah akses data yang valid untuk pelayanan publik dan keterbukaan informasi.
**Dasar Hukum:** Peraturan Presiden Nomor 39 Tahun 2-2019 tentang Satu Data Indonesia.</t>
        </is>
      </c>
      <c r="G11" s="15" t="n">
        <v>100</v>
      </c>
      <c r="H11" s="15" t="n">
        <v>18.76</v>
      </c>
      <c r="I11" s="15" t="n">
        <v>4.34</v>
      </c>
      <c r="J11" s="15" t="n">
        <v>86.7</v>
      </c>
      <c r="K11" s="15" t="n">
        <v>86.7</v>
      </c>
      <c r="L11" s="16" t="n">
        <v>0.133</v>
      </c>
      <c r="M11" s="16" t="n">
        <v>0.133</v>
      </c>
      <c r="N11" s="15" t="n">
        <v>13.3</v>
      </c>
      <c r="O11" s="17" t="inlineStr">
        <is>
          <t>PASSED</t>
        </is>
      </c>
      <c r="P11" s="16" t="n">
        <v>0.867</v>
      </c>
    </row>
    <row r="12">
      <c r="A12" s="12" t="n">
        <v>4</v>
      </c>
      <c r="B12" s="13" t="inlineStr">
        <is>
          <t>Ekstraksi</t>
        </is>
      </c>
      <c r="C12" s="13" t="inlineStr">
        <is>
          <t>google/gemma-4-26b-a4b-it:free</t>
        </is>
      </c>
      <c r="D12" s="14" t="inlineStr">
        <is>
          <t>Sebutkan tiga manfaat utama penerapan Pemerintah Digital bagi masyarakat.</t>
        </is>
      </c>
      <c r="E12" s="14" t="inlineStr">
        <is>
          <t>Akses layanan lebih cepat, peningkatan transparansi, dan kemudahan memperoleh layanan publik.</t>
        </is>
      </c>
      <c r="F12" s="14" t="inlineStr">
        <is>
          <t>Tiga manfaat utama penerapan Pemerintah Digital bagi masyarakat adalah:
1. **Peningkatan Kualitas Layanan Publik:** Layanan menjadi lebih cepat, mudah, transparan, dan dapat diakses kapan saja tanpa terbatas ruang dan waktu.
2. **Efisiensi dan Kemudahan Akses:** Mengurangi biaya operasional masyarakat (biaya transportasi/fotokopi) dan memangkas birokrasi yang berbelit-belit.
3. **Peningkatan Kepercayaan Publik:** Adanya transparansi proses dan kepastian waktu layanan yang memperkecil peluang praktik korupsi, kolusi, dan nepotisme (KKN).</t>
        </is>
      </c>
      <c r="G12" s="15" t="n">
        <v>100</v>
      </c>
      <c r="H12" s="15" t="n">
        <v>14.81</v>
      </c>
      <c r="I12" s="15" t="n">
        <v>4.42</v>
      </c>
      <c r="J12" s="15" t="n">
        <v>88.39</v>
      </c>
      <c r="K12" s="15" t="n">
        <v>88.39</v>
      </c>
      <c r="L12" s="16" t="n">
        <v>0.1161</v>
      </c>
      <c r="M12" s="16" t="n">
        <v>0.1161</v>
      </c>
      <c r="N12" s="15" t="n">
        <v>11.61</v>
      </c>
      <c r="O12" s="17" t="inlineStr">
        <is>
          <t>PASSED</t>
        </is>
      </c>
      <c r="P12" s="16" t="n">
        <v>0.8839</v>
      </c>
    </row>
    <row r="13">
      <c r="A13" s="12" t="n">
        <v>5</v>
      </c>
      <c r="B13" s="13" t="inlineStr">
        <is>
          <t>Ekstraksi</t>
        </is>
      </c>
      <c r="C13" s="13" t="inlineStr">
        <is>
          <t>google/gemma-4-26b-a4b-it:free</t>
        </is>
      </c>
      <c r="D13" s="14" t="inlineStr">
        <is>
          <t>Sebutkan tiga karakteristik utama digital government.</t>
        </is>
      </c>
      <c r="E13" s="14" t="inlineStr">
        <is>
          <t>Keterpaduan layanan, pemanfaatan data, dan orientasi pada kebutuhan pengguna.</t>
        </is>
      </c>
      <c r="F13" s="14" t="inlineStr">
        <is>
          <t>Tiga karakteristik utama *digital government* adalah:
1.  **Integrasi (Interoperabilitas):** Terhubungnya berbagai sistem dan data antar instansi pemerintah agar dapat saling berbagi pakai (tidak ada silo data).
2.ters **Berorientasi pada Pengguna (*User-Centric*):** Layanan dirancang untuk memudahkan kebutuhan masyarakat/pengguna, bukan berdasarkan struktur organisasi birokrasi.
3. **Berbasis Data (*Data-Driven*):** Pengambilan keputusan dan penyusunan kebijakan didasarkan pada analisis data yang akurat dan *real-time*.</t>
        </is>
      </c>
      <c r="G13" s="15" t="n">
        <v>100</v>
      </c>
      <c r="H13" s="15" t="n">
        <v>8.279999999999999</v>
      </c>
      <c r="I13" s="15" t="n">
        <v>4.31</v>
      </c>
      <c r="J13" s="15" t="n">
        <v>86.15000000000001</v>
      </c>
      <c r="K13" s="15" t="n">
        <v>86.15000000000001</v>
      </c>
      <c r="L13" s="16" t="n">
        <v>0.1385</v>
      </c>
      <c r="M13" s="16" t="n">
        <v>0.1385</v>
      </c>
      <c r="N13" s="15" t="n">
        <v>13.85</v>
      </c>
      <c r="O13" s="17" t="inlineStr">
        <is>
          <t>PASSED</t>
        </is>
      </c>
      <c r="P13" s="16" t="n">
        <v>0.8615</v>
      </c>
    </row>
    <row r="14">
      <c r="A14" s="12" t="n">
        <v>6</v>
      </c>
      <c r="B14" s="13" t="inlineStr">
        <is>
          <t>Faktual</t>
        </is>
      </c>
      <c r="C14" s="13" t="inlineStr">
        <is>
          <t>google/gemma-4-26b-a4b-it:free</t>
        </is>
      </c>
      <c r="D14" s="14" t="inlineStr">
        <is>
          <t>Apa manfaat penerapan tata kelola data dalam pemerintahan digital?</t>
        </is>
      </c>
      <c r="E14" s="14" t="inlineStr">
        <is>
          <t>Memastikan data akurat, terintegrasi, aman, dan dapat dimanfaatkan untuk mendukung layanan serta pengambilan keputusan.</t>
        </is>
      </c>
      <c r="F14" s="14" t="inlineStr">
        <is>
          <t>Manfaat penerapan tata kelola data dalam pemerintahan digital adalah:
1.  **Meningkatkan Kualitas Data:** Menjamin data akurat, mutakhir, konsisten, dan terintegrasi antar instansi (mengatasi ego sektoral).
2.  **Mendukung Pengambilan Keputusan:** Menyediakan basis data yang valid untuk kebijakan berbasis bukti (*evidence-based policy*).
3.  **Efisiasi Operasional:** Menghindari duplikasi data dan redundansi proses birokrasi.
4. ability **Interoperabilitas:** Memungkinkan pertukaran data yang lancar antar sistem aplikasi pemerintah melalui standar yang sama.
5.**Keamanan &amp; Privasi:** Menjamin perlindungan data pribadi dan keamanan informasi sesuai regulasi (UU PDP).
6. **Inovasi Layanan:** Memungkinkan pengembangan layanan publik berbasis data (seperti AI dan *Big Data Analytics*).</t>
        </is>
      </c>
      <c r="G14" s="15" t="n">
        <v>84.68000000000001</v>
      </c>
      <c r="H14" s="15" t="n">
        <v>17.1</v>
      </c>
      <c r="I14" s="15" t="n">
        <v>4.23</v>
      </c>
      <c r="J14" s="15" t="n">
        <v>84.68000000000001</v>
      </c>
      <c r="K14" s="15" t="n">
        <v>84.68000000000001</v>
      </c>
      <c r="L14" s="16" t="n">
        <v>0.1532</v>
      </c>
      <c r="M14" s="16" t="n">
        <v>0.1532</v>
      </c>
      <c r="N14" s="15" t="n">
        <v>15.32</v>
      </c>
      <c r="O14" s="18" t="inlineStr">
        <is>
          <t>FAILED</t>
        </is>
      </c>
      <c r="P14" s="16" t="n">
        <v>0.8468</v>
      </c>
    </row>
    <row r="15">
      <c r="A15" s="12" t="n">
        <v>7</v>
      </c>
      <c r="B15" s="13" t="inlineStr">
        <is>
          <t>Ekstraksi</t>
        </is>
      </c>
      <c r="C15" s="13" t="inlineStr">
        <is>
          <t>google/gemma-4-26b-a4b-it:free</t>
        </is>
      </c>
      <c r="D15" s="14" t="inlineStr">
        <is>
          <t>Sebutkan tiga tujuan utama keamanan siber dalam layanan pemerintah digital.</t>
        </is>
      </c>
      <c r="E15" s="14" t="inlineStr">
        <is>
          <t>Melindungi kerahasiaan data, menjaga integritas informasi, dan memastikan ketersediaan layanan.</t>
        </is>
      </c>
      <c r="F15" s="14" t="inlineStr">
        <is>
          <t>Berdasarkan kerangka kerja keamanan informasi dalam tata kelola SPBE, tiga tujuan utama keamanan siber adalah:
1.  **Kerahasiaan (*Confidentiality*):** Menjamin data dan informasi pemerintah hanya dapat diakses oleh pihak yang memiliki hak akses sah.
2.  **Integritas (*Integrity*):** Menjamin bahwa data dan sistem pemerintah tetap akurat, utuh, dan tidak dimodifikasi oleh pihak yang tidak berwenang.
3.  **Ketersediaan (*Availability*):** Menjamin bahwa layanan digital pemerintah dapat diakses secara andal dan tepat waktu saat dibutuhkan oleh pengguna.</t>
        </is>
      </c>
      <c r="G15" s="15" t="n">
        <v>100</v>
      </c>
      <c r="H15" s="15" t="n">
        <v>13.1</v>
      </c>
      <c r="I15" s="15" t="n">
        <v>4.42</v>
      </c>
      <c r="J15" s="15" t="n">
        <v>88.33</v>
      </c>
      <c r="K15" s="15" t="n">
        <v>88.33</v>
      </c>
      <c r="L15" s="16" t="n">
        <v>0.1167</v>
      </c>
      <c r="M15" s="16" t="n">
        <v>0.1167</v>
      </c>
      <c r="N15" s="15" t="n">
        <v>11.67</v>
      </c>
      <c r="O15" s="17" t="inlineStr">
        <is>
          <t>PASSED</t>
        </is>
      </c>
      <c r="P15" s="16" t="n">
        <v>0.8833</v>
      </c>
    </row>
    <row r="16">
      <c r="A16" s="12" t="n">
        <v>8</v>
      </c>
      <c r="B16" s="13" t="inlineStr">
        <is>
          <t>Faktual</t>
        </is>
      </c>
      <c r="C16" s="13" t="inlineStr">
        <is>
          <t>google/gemma-4-26b-a4b-it:free</t>
        </is>
      </c>
      <c r="D16" s="14" t="inlineStr">
        <is>
          <t>Apa fungsi sebuah portal layanan publik nasional bagi masyarakat?</t>
        </is>
      </c>
      <c r="E16" s="14" t="inlineStr">
        <is>
          <t>Mengonsolidasikan berbagai layanan pemerintah dalam satu titik akses agar mudah, cepat, dan terpadu.</t>
        </is>
      </c>
      <c r="F16" s="14" t="inlineStr">
        <is>
          <t>Fungsi portal layanan publik nasional bagi masyarakat adalah:
1.  **Pusat Akses Tunggal (*Single Entry Point*):** Menjadi satu-satunya pintu masuk untuk mengakses berbagai layanan pemerintah tanpa harus mengunjungi banyak situs web instansi yang berbeda.
2.  **Integrasi Layanan:** Menyatukan berbagai layanan publik (administratif, perizinan, sosial, dll.) dalam satu platform yang terpadu.
3.  **Kemudahan Akses (*User Experience*):** Menyederhanakan proses interaksi antara masyarakat dan pemerintah melalui antarmuka yang standar, mudah, dan efisien.
4.- **Transparansi dan Akuntabilitas:** Memudahkan masyarakat dalam memantau status permohonan layanan secara real-time dan memastikan proses berjalan sesuai standar.</t>
        </is>
      </c>
      <c r="G16" s="15" t="n">
        <v>100</v>
      </c>
      <c r="H16" s="15" t="n">
        <v>18.87</v>
      </c>
      <c r="I16" s="15" t="n">
        <v>4.34</v>
      </c>
      <c r="J16" s="15" t="n">
        <v>86.75</v>
      </c>
      <c r="K16" s="15" t="n">
        <v>86.75</v>
      </c>
      <c r="L16" s="16" t="n">
        <v>0.1325</v>
      </c>
      <c r="M16" s="16" t="n">
        <v>0.1325</v>
      </c>
      <c r="N16" s="15" t="n">
        <v>13.25</v>
      </c>
      <c r="O16" s="17" t="inlineStr">
        <is>
          <t>PASSED</t>
        </is>
      </c>
      <c r="P16" s="16" t="n">
        <v>0.8675</v>
      </c>
    </row>
    <row r="17">
      <c r="A17" s="12" t="n">
        <v>9</v>
      </c>
      <c r="B17" s="13" t="inlineStr">
        <is>
          <t>Faktual</t>
        </is>
      </c>
      <c r="C17" s="13" t="inlineStr">
        <is>
          <t>google/gemma-4-26b-a4b-it:free</t>
        </is>
      </c>
      <c r="D17" s="14" t="inlineStr">
        <is>
          <t>Jelaskan secara umum apa itu RAG (Retrieval-Augmented Generation) pada sistem AI. (Mengapa integrasi layanan digital penting bagi masyarakat?)</t>
        </is>
      </c>
      <c r="E17" s="14" t="inlineStr">
        <is>
          <t>Mempermudah akses layanan, mengurangi duplikasi proses, dan meningkatkan efisiensi pelayanan.</t>
        </is>
      </c>
      <c r="F17" s="14" t="inlineStr">
        <is>
          <t>**RAG (Retrieval-Augmented Generation)** adalah teknik pada sistem AI yang menggabungkan kemampuan pembuatan teks (Generative AI) dengan pengambilan data dari sumber eksternal yang terpercaya (Retriever).
**Cara Kerja Singkat:**
1. **Query:** Pengguna mengajukan pertanyaan.
2. **Retrieval:** Sistem mencari dokumen/data relevan dari basis data khusus (bukan hanya dari memori pelatihan model).
3.- **Augmentation:** Data yang ditemukan digabungkan dengan pertanyaan asli sebagai konteks.
4. **Generation:** Model AI menghasilkan jawaban yang akurat, mutakhir, dan minim halusinasi karena berbasis data tersebut.
**Pentingnya Integrasi Layanan Digital bagi Masyarakat (Perspektif SPBE):**
Integrasi layanan digital penting karena:
1. **Efisiensi:** Menghilangkan duplikasi data dan proses (prinsip interoperabilitas).
2. **Kemudahan (User Experience):** Masyarakat cukup menggunakan satu platform (*Single Sign-On*) untuk berbagai urusan tanpa harus berpindah-pindah aplikasi.
3. **Efektivitas Kebijakan:** Data yang terintegrasi memungkinkan pengambilan keputusan berbasis data (*data-driven policy*) yang lebih akurat oleh pemerintah.</t>
        </is>
      </c>
      <c r="G17" s="15" t="n">
        <v>84.28</v>
      </c>
      <c r="H17" s="15" t="n">
        <v>35.78</v>
      </c>
      <c r="I17" s="15" t="n">
        <v>4.21</v>
      </c>
      <c r="J17" s="15" t="n">
        <v>84.28</v>
      </c>
      <c r="K17" s="15" t="n">
        <v>84.28</v>
      </c>
      <c r="L17" s="16" t="n">
        <v>0.1572</v>
      </c>
      <c r="M17" s="16" t="n">
        <v>0.1572</v>
      </c>
      <c r="N17" s="15" t="n">
        <v>15.72</v>
      </c>
      <c r="O17" s="18" t="inlineStr">
        <is>
          <t>FAILED</t>
        </is>
      </c>
      <c r="P17" s="16" t="n">
        <v>0.8428</v>
      </c>
    </row>
    <row r="18">
      <c r="A18" s="12" t="n">
        <v>10</v>
      </c>
      <c r="B18" s="13" t="inlineStr">
        <is>
          <t>Faktual</t>
        </is>
      </c>
      <c r="C18" s="13" t="inlineStr">
        <is>
          <t>google/gemma-4-26b-a4b-it:free</t>
        </is>
      </c>
      <c r="D18" s="14" t="inlineStr">
        <is>
          <t>Apa yang dimaksud dengan pelindungan data pribadi (PDP)?</t>
        </is>
      </c>
      <c r="E18" s="14" t="inlineStr">
        <is>
          <t>Upaya tata kelola dan teknis untuk melindungi data pribadi sepanjang siklus pemrosesannya sesuai regulasi.</t>
        </is>
      </c>
      <c r="F18" s="14" t="inlineStr">
        <is>
          <t>**Pelindungan Data Pribadi (PDP)** adalah segala upaya untuk melindungi data pribadi dari akses, penggunaan, pengolahan, dan pengungkapan yang tidak sah, guna menjamin hak konstitusional warga negara atas privasi dan keamanan data.
Dalam konteks tata kelola pemerintahan di Indonesia, hal ini diatur melalui:
1. **UU No. 27 Tahun 2022 tentang Pelindungan Data Pribadi (UU PDP):** Sebagai payung hukum utama mengenai hak subjek data dan kewajiban pengendali data.
2. **Prinsip SPBE:** Menjamin bahwa integrasi sistem elektronik antar instansi pemerintah harus disertai dengan mekanisme keamanan informasi untuk mencegah kebocoran data masyarakat.</t>
        </is>
      </c>
      <c r="G18" s="15" t="n">
        <v>100</v>
      </c>
      <c r="H18" s="15" t="n">
        <v>9.92</v>
      </c>
      <c r="I18" s="15" t="n">
        <v>4.29</v>
      </c>
      <c r="J18" s="15" t="n">
        <v>85.75</v>
      </c>
      <c r="K18" s="15" t="n">
        <v>85.75</v>
      </c>
      <c r="L18" s="16" t="n">
        <v>0.1425</v>
      </c>
      <c r="M18" s="16" t="n">
        <v>0.1425</v>
      </c>
      <c r="N18" s="15" t="n">
        <v>14.25</v>
      </c>
      <c r="O18" s="17" t="inlineStr">
        <is>
          <t>PASSED</t>
        </is>
      </c>
      <c r="P18" s="16" t="n">
        <v>0.8575</v>
      </c>
    </row>
    <row r="19">
      <c r="A19" s="12" t="n">
        <v>11</v>
      </c>
      <c r="B19" s="13" t="inlineStr">
        <is>
          <t>Evaluatif</t>
        </is>
      </c>
      <c r="C19" s="13" t="inlineStr">
        <is>
          <t>google/gemma-4-26b-a4b-it:free</t>
        </is>
      </c>
      <c r="D19" s="14" t="inlineStr">
        <is>
          <t>Mengapa kepuasan pengguna menjadi tolok ukur penting dalam layanan digital?</t>
        </is>
      </c>
      <c r="E19" s="14" t="inlineStr">
        <is>
          <t>Karena keberhasilan layanan akhirnya diukur dari manfaat dan pengalaman nyata pengguna, bukan sekadar ketersediaan teknologi.</t>
        </is>
      </c>
      <c r="F19" s="14" t="inlineStr">
        <is>
          <t>Kepuasan pengguna menjadi tolok ukur penting dalam layanan digital SPBE karena:
1.  **Indikator Efektivitas Layanan:** Mengukur apakah fitur, antarmuka, dan alur proses digital telah menjawab kebutuhan nyata masyarakat/aparatur secara efektif.
2.- **Evaluasi Kualitas Layanan:** Menjadi parameter utama dalam menilai aspek *usability* (kemudahan penggunaan), keandalan sistem, dan kecepatan respon layanan.
3.**Dasar Perbaikan Berkelanjutan (*Continuous Improvement*):** Memberikan umpan balik objektif untuk identifikasi hambatan (*pain points*) guna pengembangan sistem yang lebih inklusif dan efisien.
4.**Pencapa Capaian Kinerja:** Dalam kerangka tata kelola, tingkat kepuasan pengguna adalah bukti nyata keberhasilan transformasi digital dalam memberikan nilai manfaat (*value*) bagi pengguna.</t>
        </is>
      </c>
      <c r="G19" s="15" t="n">
        <v>100</v>
      </c>
      <c r="H19" s="15" t="n">
        <v>12.3</v>
      </c>
      <c r="I19" s="15" t="n">
        <v>4.29</v>
      </c>
      <c r="J19" s="15" t="n">
        <v>85.83</v>
      </c>
      <c r="K19" s="15" t="n">
        <v>85.83</v>
      </c>
      <c r="L19" s="16" t="n">
        <v>0.1417</v>
      </c>
      <c r="M19" s="16" t="n">
        <v>0.1417</v>
      </c>
      <c r="N19" s="15" t="n">
        <v>14.17</v>
      </c>
      <c r="O19" s="17" t="inlineStr">
        <is>
          <t>PASSED</t>
        </is>
      </c>
      <c r="P19" s="16" t="n">
        <v>0.8583</v>
      </c>
    </row>
    <row r="20">
      <c r="A20" s="12" t="n">
        <v>12</v>
      </c>
      <c r="B20" s="13" t="inlineStr">
        <is>
          <t>Faktual</t>
        </is>
      </c>
      <c r="C20" s="13" t="inlineStr">
        <is>
          <t>google/gemma-4-26b-a4b-it:free</t>
        </is>
      </c>
      <c r="D20" s="14" t="inlineStr">
        <is>
          <t>Apa peran komputasi awan (cloud) dalam infrastruktur pemerintah modern?</t>
        </is>
      </c>
      <c r="E20" s="14" t="inlineStr">
        <is>
          <t>Menyediakan sumber daya komputasi yang elastis, efisien, dan terkonsolidasi untuk layanan digital.</t>
        </is>
      </c>
      <c r="F20" s="14" t="inlineStr">
        <is>
          <t>Peran komputasi awan (*cloud computing*) dalam infrastruktur pemerintah modern adalah sebagai berikut:
1.  **Penyedia Infrastruktur Terpusat:** Menjadi fondasi infrastruktur berbagi pakai (*shared services*) untuk mengurangi redundansi perangkat keras di setiap instansi.
2.  **Efisiensi Anggaran:** Mengubah belanja modal (CAPEX) menjadi belanja operasional (OPEX), sehingga pemerintah hanya membayar kapasitas yang digunakan.
3.- **Skalabilitas dan Agilitas:** Memungkinkan pemerintah melakukan peningkatan kapasitas layanan digital secara cepat sesuai beban kerja tanpa membangun fisik server baru.
4.**Integrasi Data:** Memfasilitasi integrasi dan interoperabilitas data antar instansi melalui ekosistem yang terpusat (mendukung konsep Pusat Data Nasional/PDN).
5.**Ketahanan Layanan:** Meningpkatkan ketersediaan (*availability*) dan pemulihan bencana (*disaster recovery*) melalui sistem yang terdistribusi dan redundan.
**Landasan Regulasi:** Peraturan Presiden Nomor 95 Tahun 2-018 tentang SPBE dan regulasi terkait Pusat Data Nasional (PDN).</t>
        </is>
      </c>
      <c r="G20" s="15" t="n">
        <v>100</v>
      </c>
      <c r="H20" s="15" t="n">
        <v>20.1</v>
      </c>
      <c r="I20" s="15" t="n">
        <v>4.32</v>
      </c>
      <c r="J20" s="15" t="n">
        <v>86.5</v>
      </c>
      <c r="K20" s="15" t="n">
        <v>86.5</v>
      </c>
      <c r="L20" s="16" t="n">
        <v>0.135</v>
      </c>
      <c r="M20" s="16" t="n">
        <v>0.135</v>
      </c>
      <c r="N20" s="15" t="n">
        <v>13.5</v>
      </c>
      <c r="O20" s="17" t="inlineStr">
        <is>
          <t>PASSED</t>
        </is>
      </c>
      <c r="P20" s="16" t="n">
        <v>0.865</v>
      </c>
    </row>
    <row r="21">
      <c r="A21" s="12" t="n">
        <v>13</v>
      </c>
      <c r="B21" s="13" t="inlineStr">
        <is>
          <t>Ekstraksi</t>
        </is>
      </c>
      <c r="C21" s="13" t="inlineStr">
        <is>
          <t>google/gemma-4-26b-a4b-it:free</t>
        </is>
      </c>
      <c r="D21" s="14" t="inlineStr">
        <is>
          <t>Apa tujuan dilakukannya evaluasi kinerja pemerintah digital?</t>
        </is>
      </c>
      <c r="E21" s="14" t="inlineStr">
        <is>
          <t>Mengukur tingkat kematangan dan efektivitas penerapan pemerintah digital untuk perbaikan berkelanjutan</t>
        </is>
      </c>
      <c r="F21" s="14" t="inlineStr">
        <is>
          <t>Tujuan dilakukannya evaluasi kinerja pemerintah digital (SPBE) adalah:
1. **Mengukur tingkat kematangan:** Mengetahui sejauh mana implementasi SPBE telah berjalan sesuai standar.
2.- **Menjamin efektivitas dan efisiensi:** Memastikan penggunaan teknologi informasi dapat mengoptimalkan pelayanan publik dan proses bisnis pemerintah.
3. **Identifikasi hambatan:** Menemukan kendala dalam tata kelola, infrastruktur, maupun sumber daya manusia.
4. **Dasar pengambilan kebijakan:** Memberikan rekomendasi perbaikan bagi pimpinan untuk perencanaan strategi digitalisasi selanjutnya.
5. **Mendorong integrasi:** Memastikan antar instansi tidak berjalan sendiri-sendiri (menghindari silo data/aplikasi) demi terwujudnya keterpaduan layanan nasional.</t>
        </is>
      </c>
      <c r="G21" s="15" t="n">
        <v>100</v>
      </c>
      <c r="H21" s="15" t="n">
        <v>11.28</v>
      </c>
      <c r="I21" s="15" t="n">
        <v>4.51</v>
      </c>
      <c r="J21" s="15" t="n">
        <v>90.22</v>
      </c>
      <c r="K21" s="15" t="n">
        <v>90.22</v>
      </c>
      <c r="L21" s="16" t="n">
        <v>0.0978</v>
      </c>
      <c r="M21" s="16" t="n">
        <v>0.0978</v>
      </c>
      <c r="N21" s="15" t="n">
        <v>9.779999999999999</v>
      </c>
      <c r="O21" s="17" t="inlineStr">
        <is>
          <t>PASSED</t>
        </is>
      </c>
      <c r="P21" s="16" t="n">
        <v>0.9022</v>
      </c>
    </row>
    <row r="22">
      <c r="A22" s="12" t="n">
        <v>14</v>
      </c>
      <c r="B22" s="13" t="inlineStr">
        <is>
          <t>Analisis</t>
        </is>
      </c>
      <c r="C22" s="13" t="inlineStr">
        <is>
          <t>google/gemma-4-26b-a4b-it:free</t>
        </is>
      </c>
      <c r="D22" s="14" t="inlineStr">
        <is>
          <t>Bagaimana hubungan antara CSIRT dan penanganan insiden siber dalam menjaga keamanan layanan digital pemerintah?</t>
        </is>
      </c>
      <c r="E22" s="14" t="inlineStr">
        <is>
          <t>CSIRT bertanggung jawab menangani insiden siber, sedangkan penanganan insiden merupakan proses yang dilaksanakan untuk menjaga keamanan layanan digital.</t>
        </is>
      </c>
      <c r="F22" s="14" t="inlineStr">
        <is>
          <t>Hubungan antara **CSIRT (*Computer Security Incident Response Team*)** dan **penanganan insiden siber** dalam menjaga keamanan layanan digital pemerintah adalah sebagai berikut:
1.  **Fungsi Utama:** CSIRT bertindak sebagai **unit respons cepat** yang bertanggung jawab mengelola, menangani, dan memitigasi insiden keamanan siber pada instansi pemerintah.
2.- **Alur Kerja:** CSIRT menjadi pusat kendali saat terjadi gangguan (seperti serangan *ransomware* atau kebocoran data) melalui tahapan: **Deteksi $\rightarrow$ Analisis $\rightarrow$ Mitigasi $\rightarrow$ Pemulihan.**
3.- **Tujuan Keamanan:** Melalui penanganan insiden yang terstruktur oleh CSIRT, **ketersediaan (*availability*), keutuhan (*integrity*), dan kerahasiaan (*confidentiality*)** layanan digital pemerintah dapat dipulihkan secara cepat guna meminimimalisir dampak kerugian nasional.
4- **Landasan Regulasi:** Operasional CSIRT merupakan implementasi dari mandat pengelolaan keamanan informasi (sesuai standar BSSN) untuk memastikan ketahanan siber nasional.
**Intinya:** CSIRT adalah **eksekutor teknis** yang menjamin insiden siber tidak melumpuhkan layanan digital pemerintah secara permanen.</t>
        </is>
      </c>
      <c r="G22" s="15" t="n">
        <v>100</v>
      </c>
      <c r="H22" s="15" t="n">
        <v>148.14</v>
      </c>
      <c r="I22" s="15" t="n">
        <v>4.43</v>
      </c>
      <c r="J22" s="15" t="n">
        <v>88.54000000000001</v>
      </c>
      <c r="K22" s="15" t="n">
        <v>88.54000000000001</v>
      </c>
      <c r="L22" s="16" t="n">
        <v>0.1146</v>
      </c>
      <c r="M22" s="16" t="n">
        <v>0.1146</v>
      </c>
      <c r="N22" s="15" t="n">
        <v>11.46</v>
      </c>
      <c r="O22" s="17" t="inlineStr">
        <is>
          <t>PASSED</t>
        </is>
      </c>
      <c r="P22" s="16" t="n">
        <v>0.8854</v>
      </c>
    </row>
    <row r="23">
      <c r="A23" s="12" t="n">
        <v>15</v>
      </c>
      <c r="B23" s="13" t="inlineStr">
        <is>
          <t>Faktual</t>
        </is>
      </c>
      <c r="C23" s="13" t="inlineStr">
        <is>
          <t>google/gemma-4-26b-a4b-it:free</t>
        </is>
      </c>
      <c r="D23" s="14" t="inlineStr">
        <is>
          <t>Apa manfaat kriptografi untuk pengamanan data pemerintah?</t>
        </is>
      </c>
      <c r="E23" s="14" t="inlineStr">
        <is>
          <t>Menjaga kerahasiaan dan integritas data saat disimpan, digunakan, maupun dipertukarkan.</t>
        </is>
      </c>
      <c r="F23" s="14" t="inlineStr">
        <is>
          <t>Manfaat kriptografi untuk pengamanan data pemerintah adalah:
1.  **Kerahasiaan (*Confidentiality*):** Memastikan data hanya dapat dibaca oleh pihak yang memiliki hak akses/kunci dekripsi, sehingga mencegah kebocoran informasi sensitif negara.
2.- **Integritas (*Integrity*):** Menjamin data tidak dimodifikasi atau diubah oleh pihak yang tidak berwenang selama proses transmisi maupun penyimpanan.
3.  **Keaslian (*Authenticity*):** Memverifikasi identitas pengirim atau sumber data untuk memastikan data berasal dari instansi yang sah.
4- **Nirpenyangkalan (*Non-repudiation*):** Menceksah bahwa pengirim tidak dapat menyangkal telah melakukan transaksi atau pengiriman data tertentu (melalui tanda tangan digital).
**Landasan Regulasi:** Terkait dengan standar keamanan informasi dalam kerangka kerja SPBE untuk melindungi aset informasi negara.</t>
        </is>
      </c>
      <c r="G23" s="15" t="n">
        <v>100</v>
      </c>
      <c r="H23" s="15" t="n">
        <v>14.8</v>
      </c>
      <c r="I23" s="15" t="n">
        <v>4.29</v>
      </c>
      <c r="J23" s="15" t="n">
        <v>85.77</v>
      </c>
      <c r="K23" s="15" t="n">
        <v>85.77</v>
      </c>
      <c r="L23" s="16" t="n">
        <v>0.1423</v>
      </c>
      <c r="M23" s="16" t="n">
        <v>0.1423</v>
      </c>
      <c r="N23" s="15" t="n">
        <v>14.23</v>
      </c>
      <c r="O23" s="17" t="inlineStr">
        <is>
          <t>PASSED</t>
        </is>
      </c>
      <c r="P23" s="16" t="n">
        <v>0.8577</v>
      </c>
    </row>
    <row r="24">
      <c r="A24" s="12" t="n">
        <v>16</v>
      </c>
      <c r="B24" s="13" t="inlineStr">
        <is>
          <t>Faktual</t>
        </is>
      </c>
      <c r="C24" s="13" t="inlineStr">
        <is>
          <t>google/gemma-4-26b-a4b-it:free</t>
        </is>
      </c>
      <c r="D24" s="14" t="inlineStr">
        <is>
          <t>Jelaskan secara umum konsep arsitektur enterprise pada pemerintahan.</t>
        </is>
      </c>
      <c r="E24" s="14" t="inlineStr">
        <is>
          <t>Kerangka yang menyelaraskan proses bisnis, data, aplikasi, dan teknologi agar terpadu mendukung tujuan organisasi.</t>
        </is>
      </c>
      <c r="F24" s="14" t="inlineStr">
        <is>
          <t>Konsep **Arsitektur Enterprise (AE) Pemerintahan** adalah kerangka kerja terintegrasi yang menyelaraskan strategi, proses bisnis, data, aplikasi, dan infrastruktur teknologi informasi dengan tujuan strategis organisasi pemerintah.
Berdasarkan regulasi SPBE (Perpres 92/2018 dan Perpres 132/2022), AE bertujuan untuk:
1.  **Integrasi:** Menghilangkan silo data dan aplikasi antar instansi pemerintah melalui standarisasi.
2.ers **Interoperabilitas:** Memastikan sistem yang berbeda dapat saling berkomunikasi dan bertukar data secara lancar.
3.  **Efisiensi:** Mengurangi redundansi (tumpang tindih) aplikasi dan infrastruktur untuk menghemat anggaran.
4. manfaat **Penyelarasan:** Menjamin setiap investasi teknologi informasi mendukung pencapaian target pembangunan nasional/daerah.
**Komponen Utama AE SPBE:**
*   **Arsitektur Proses Bisnis:** Alur kerja layanan publik/pemerintahan.
*   **Arsitektur Data &amp; Informasi:** Struktur dan tata kelola data.
*   **Arsitektur Aplikasi:** Kumpulan aplikasi yang mendukung proses bisnis.
*   **Arsitektur Infrastruktur:** Perangkat keras, jaringan, dan pusat data.
*   **Arsitektur Keamanan:** Standar perlindungan informasi dan sistem.</t>
        </is>
      </c>
      <c r="G24" s="15" t="n">
        <v>100</v>
      </c>
      <c r="H24" s="15" t="n">
        <v>12.51</v>
      </c>
      <c r="I24" s="15" t="n">
        <v>4.29</v>
      </c>
      <c r="J24" s="15" t="n">
        <v>85.83</v>
      </c>
      <c r="K24" s="15" t="n">
        <v>85.83</v>
      </c>
      <c r="L24" s="16" t="n">
        <v>0.1417</v>
      </c>
      <c r="M24" s="16" t="n">
        <v>0.1417</v>
      </c>
      <c r="N24" s="15" t="n">
        <v>14.17</v>
      </c>
      <c r="O24" s="17" t="inlineStr">
        <is>
          <t>PASSED</t>
        </is>
      </c>
      <c r="P24" s="16" t="n">
        <v>0.8583</v>
      </c>
    </row>
    <row r="25">
      <c r="A25" s="12" t="n">
        <v>17</v>
      </c>
      <c r="B25" s="13" t="inlineStr">
        <is>
          <t>Faktual</t>
        </is>
      </c>
      <c r="C25" s="13" t="inlineStr">
        <is>
          <t>google/gemma-4-26b-a4b-it:free</t>
        </is>
      </c>
      <c r="D25" s="14" t="inlineStr">
        <is>
          <t>Apa yang dimaksud dengan informasi geospasial?</t>
        </is>
      </c>
      <c r="E25" s="14" t="inlineStr">
        <is>
          <t>Informasi mengenai lokasi, posisi, dan karakteristik objek di permukaan bumi yang bereferensi spasial.</t>
        </is>
      </c>
      <c r="F25" s="14" t="inlineStr">
        <is>
          <t>**Informasi Geospasial (IG)** adalah data, informasi, dan metadatanya yang memiliki referensi spasial (lokasi/koordinat) di permukaan bumi.
Dalam konteks SPBE dan tata kelola data nasional, IG merupakan komponen krusial untuk mendukung pengambilan keputusan berbasis lokasi dan integrasi data antar instansi pemerintah.</t>
        </is>
      </c>
      <c r="G25" s="15" t="n">
        <v>100</v>
      </c>
      <c r="H25" s="15" t="n">
        <v>6.07</v>
      </c>
      <c r="I25" s="15" t="n">
        <v>4.43</v>
      </c>
      <c r="J25" s="15" t="n">
        <v>88.56999999999999</v>
      </c>
      <c r="K25" s="15" t="n">
        <v>88.56999999999999</v>
      </c>
      <c r="L25" s="16" t="n">
        <v>0.1143</v>
      </c>
      <c r="M25" s="16" t="n">
        <v>0.1143</v>
      </c>
      <c r="N25" s="15" t="n">
        <v>11.43</v>
      </c>
      <c r="O25" s="17" t="inlineStr">
        <is>
          <t>PASSED</t>
        </is>
      </c>
      <c r="P25" s="16" t="n">
        <v>0.8857</v>
      </c>
    </row>
    <row r="26">
      <c r="A26" s="12" t="n">
        <v>18</v>
      </c>
      <c r="B26" s="13" t="inlineStr">
        <is>
          <t>Analisis</t>
        </is>
      </c>
      <c r="C26" s="13" t="inlineStr">
        <is>
          <t>google/gemma-4-26b-a4b-it:free</t>
        </is>
      </c>
      <c r="D26" s="14" t="inlineStr">
        <is>
          <t>Mengapa kolaborasi lintas instansi penting dalam pemerintahan digital?</t>
        </is>
      </c>
      <c r="E26" s="14" t="inlineStr">
        <is>
          <t>Untuk menghindari fragmentasi sistem, berbagi data, dan menghasilkan layanan terpadu bagi masyarakat.</t>
        </is>
      </c>
      <c r="F26" s="14" t="inlineStr">
        <is>
          <t>Kolaborasi lintas instansi dalam SPBE penting karena:
1.  **Menghindari Silo Data &amp; Aplikasi:** Mencemen fragmentasi sistem agar tidak terjadi duplikasi aplikasi dan data antar instansi yang memboroskan anggaran.
2.  **Interoperabilitas:** Memastikan sistem yang berbeda dapat saling berkomunikasi dan bertukar data secara mulus melalui integrasi sistem (Satu Data Indonesia).
3.- **Efisi-ensi Sumber Daya:** Mengoptimalkan penggunaan infrastruktur berbagi pakai (seperti Pusat Data Nasional) untuk menekan biaya pengadaan dan pemeliharaan.
4. **Integrasi Layanan Publik:** Mewujudkan layanan pemerintah yang terpadu (*seamless*) bagi masyarakat, sehingga warga tidak perlu mengakses banyak portal untuk urusan berbeda.
5. **Akurasi Kebijakan:** Memungkinkan pengambilan keputusan berbasis data yang komprehensif karena data antar instansi telah terintegrasi.
**Dasar Regulasi:** Perpres No. 95 Tahun 2-018 tentang SPBE.</t>
        </is>
      </c>
      <c r="G26" s="15" t="n">
        <v>100</v>
      </c>
      <c r="H26" s="15" t="n">
        <v>13.51</v>
      </c>
      <c r="I26" s="15" t="n">
        <v>4.28</v>
      </c>
      <c r="J26" s="15" t="n">
        <v>85.62</v>
      </c>
      <c r="K26" s="15" t="n">
        <v>85.62</v>
      </c>
      <c r="L26" s="16" t="n">
        <v>0.1438</v>
      </c>
      <c r="M26" s="16" t="n">
        <v>0.1438</v>
      </c>
      <c r="N26" s="15" t="n">
        <v>14.38</v>
      </c>
      <c r="O26" s="17" t="inlineStr">
        <is>
          <t>PASSED</t>
        </is>
      </c>
      <c r="P26" s="16" t="n">
        <v>0.8562</v>
      </c>
    </row>
    <row r="27">
      <c r="A27" s="12" t="n">
        <v>19</v>
      </c>
      <c r="B27" s="13" t="inlineStr">
        <is>
          <t>Evaluatif</t>
        </is>
      </c>
      <c r="C27" s="13" t="inlineStr">
        <is>
          <t>google/gemma-4-26b-a4b-it:free</t>
        </is>
      </c>
      <c r="D27" s="14" t="inlineStr">
        <is>
          <t>Apa indikator umum keberhasilan sebuah reformasi birokrasi?</t>
        </is>
      </c>
      <c r="E27" s="14" t="inlineStr">
        <is>
          <t>Peningkatan kualitas pelayanan publik, akuntabilitas kinerja, efisiensi, dan kepercayaan masyarakat.</t>
        </is>
      </c>
      <c r="F27" s="14" t="inlineStr">
        <is>
          <t>Indikator umum keberhasilan reformasi birokrasi dapat dilihat dari empat aspek utama:
1.  **Efisiensi Proses Bisnis:** Terjadinya penyederhanaan prosedur (debirokratisasi), pemangkasan rantai birokrasi, dan optimalisasi penggunaan teknologi informasi (Digitalisasi/SPBE).
2.- **Kualitas Pelayanan Publik:** Meningkatnya indeks kepuasan masyarakat, kecepatan layanan, kemudahan akses, serta transparansi layanan.
3.**Akuntabilitas dan Kinerja:** Tercapainya target kinerja organisasi (IKU), peningkatan nilai SAKIP (Sistem Akuntabilitas Kinerja Instansi Pemerintah), serta pengelolaan anggaran yang efektif dan efisien.
4. **Integritas dan Budaya Kerja:** Menurunnya tingkat korupsi (indeks persepsi korupsi), peningkatan profesionalisme ASN, dan penerapan nilai-nilai dasar (Core Values) ASN yang konsisten.</t>
        </is>
      </c>
      <c r="G27" s="15" t="n">
        <v>100</v>
      </c>
      <c r="H27" s="15" t="n">
        <v>6.99</v>
      </c>
      <c r="I27" s="15" t="n">
        <v>4.29</v>
      </c>
      <c r="J27" s="15" t="n">
        <v>85.89</v>
      </c>
      <c r="K27" s="15" t="n">
        <v>85.89</v>
      </c>
      <c r="L27" s="16" t="n">
        <v>0.1411</v>
      </c>
      <c r="M27" s="16" t="n">
        <v>0.1411</v>
      </c>
      <c r="N27" s="15" t="n">
        <v>14.11</v>
      </c>
      <c r="O27" s="17" t="inlineStr">
        <is>
          <t>PASSED</t>
        </is>
      </c>
      <c r="P27" s="16" t="n">
        <v>0.8589</v>
      </c>
    </row>
    <row r="28">
      <c r="A28" s="12" t="n">
        <v>20</v>
      </c>
      <c r="B28" s="13" t="inlineStr">
        <is>
          <t>Analisis</t>
        </is>
      </c>
      <c r="C28" s="13" t="inlineStr">
        <is>
          <t>google/gemma-4-26b-a4b-it:free</t>
        </is>
      </c>
      <c r="D28" s="14" t="inlineStr">
        <is>
          <t>Apa perbedaan antara penilaian mandiri dan penilaian eksternal dalam evaluasi kinerja?</t>
        </is>
      </c>
      <c r="E28" s="14" t="inlineStr">
        <is>
          <t>Penilaian mandiri dilakukan internal organisasi; penilaian eksternal dilakukan pihak di luar organisasi untuk verifikasi.</t>
        </is>
      </c>
      <c r="F28" s="14" t="inlineStr">
        <is>
          <t>Berikut adalah perbedaan antara penilaian mandiri dan penilaian eksternal dalam evaluasi kinerja SPBE:
**1. Penilaian Mandiri (*Self-Assessment*)**
*   **Pelaksana:** Dilakukan oleh instansi pemerintah itu sendiri (Internal).
*   - **Tujuan:** Sebagai alat kontrol internal, mengukur kemajuan secara berkala, dan mengidentifikasi celah (*gap*) sebelum audit resmi.
*   - **Sifat:** Sebagai basis data awal/input untuk dilaporkan ke instansi pembina.
**2. Penilaian Eksternal**
*   **Pelaksana:** Dilakukan oleh lembaga independen atau instansi pembina (contoat: Kemenpan-RB).
*   **Tujuan:** Melakukan verifikasi, validasi, dan memastikan objektivitas hasil evaluasi untuk menentukan tingkat kematangan (*maturity level*) SPBE secara nasional.
*   **Sifat:** Penentu skor akhir yang bersifat resmi dan akuntabel.</t>
        </is>
      </c>
      <c r="G28" s="15" t="n">
        <v>100</v>
      </c>
      <c r="H28" s="15" t="n">
        <v>9.640000000000001</v>
      </c>
      <c r="I28" s="15" t="n">
        <v>4.42</v>
      </c>
      <c r="J28" s="15" t="n">
        <v>88.38</v>
      </c>
      <c r="K28" s="15" t="n">
        <v>88.38</v>
      </c>
      <c r="L28" s="16" t="n">
        <v>0.1162</v>
      </c>
      <c r="M28" s="16" t="n">
        <v>0.1162</v>
      </c>
      <c r="N28" s="15" t="n">
        <v>11.62</v>
      </c>
      <c r="O28" s="17" t="inlineStr">
        <is>
          <t>PASSED</t>
        </is>
      </c>
      <c r="P28" s="16" t="n">
        <v>0.8838</v>
      </c>
    </row>
    <row r="29">
      <c r="A29" s="12" t="n">
        <v>21</v>
      </c>
      <c r="B29" s="13" t="inlineStr">
        <is>
          <t>Analisis</t>
        </is>
      </c>
      <c r="C29" s="13" t="inlineStr">
        <is>
          <t>google/gemma-4-26b-a4b-it:free</t>
        </is>
      </c>
      <c r="D29" s="14" t="inlineStr">
        <is>
          <t>Bagaimana hubungan antara tata kelola data dan interoperabilitas data dalam mendukung penyelenggaraan pemerintah digital?</t>
        </is>
      </c>
      <c r="E29" s="14" t="inlineStr">
        <is>
          <t>Tata kelola data menetapkan standar pengelolaan data, sedangkan interoperabilitas data memungkinkan pertukaran data dan pemanfaatan data lintas sistem.</t>
        </is>
      </c>
      <c r="F29" s="14" t="inlineStr">
        <is>
          <t>Hubungan antara tata kelola data dan interoperabilitas data dalam SPBE adalah hubungan **fondasi dan mekanisme kerja**:
1.  **Tata Kelola Data sebagai Fondasi (Rule of Law &amp; Standard):**
    Tata kelola data menetapkan aturan main, standar data, klasifikasi, serta peran (data steward/owner). Tanpa tata kelola yang baik, data akan terfragmentasi, tidak akurat, dan tidak aman.
2.tersambung melalui **Interoperabilitas Data sebagai Mekanisme (Technical &amp; Semantic Linkage):**
    Interoperabilitas adalah kemampuan sistem/aplikasi untuk saling bertukar dan menggunakan data secara otomatis. Ia berperan sebagai "jembatan" teknis yang menjalankan mandat dari tata kelola tersebut.
**Sinergi dalam Pemerintah Digital:**
*   **Tata Kelola** memastikan data yang dipertukarkan memiliki **kualitas, keamanan, dan legalitas** yang valid.
*   **Interoperabilitas** memastikan data tersebut dapat **mengalir antar instansi** secara teknis melalui sistem (seperti melalui Portal Satu Data Indonesia atau bus layanan/API).
**Kesimpulan:**
Tata kelola menciptakan **standar dan kepercayaan** (trust), sedangkan interoperabilitas menyediakan **konektivitas** (connectivity). Keduanya harus berjalan beriringan agar integrasi layanan pemerintah dapat terwujud tanpa hambatan ego sektoral.</t>
        </is>
      </c>
      <c r="G29" s="15" t="n">
        <v>100</v>
      </c>
      <c r="H29" s="15" t="n">
        <v>13.05</v>
      </c>
      <c r="I29" s="15" t="n">
        <v>4.4</v>
      </c>
      <c r="J29" s="15" t="n">
        <v>88.06999999999999</v>
      </c>
      <c r="K29" s="15" t="n">
        <v>88.06999999999999</v>
      </c>
      <c r="L29" s="16" t="n">
        <v>0.1193</v>
      </c>
      <c r="M29" s="16" t="n">
        <v>0.1193</v>
      </c>
      <c r="N29" s="15" t="n">
        <v>11.93</v>
      </c>
      <c r="O29" s="17" t="inlineStr">
        <is>
          <t>PASSED</t>
        </is>
      </c>
      <c r="P29" s="16" t="n">
        <v>0.8807</v>
      </c>
    </row>
    <row r="30">
      <c r="A30" s="12" t="n">
        <v>22</v>
      </c>
      <c r="B30" s="13" t="inlineStr">
        <is>
          <t>Ekstraksi</t>
        </is>
      </c>
      <c r="C30" s="13" t="inlineStr">
        <is>
          <t>google/gemma-4-26b-a4b-it:free</t>
        </is>
      </c>
      <c r="D30" s="14" t="inlineStr">
        <is>
          <t>Sebutkan 4 indikator yang termasuk dalam Aspek Data pada Indeks Pemdi.</t>
        </is>
      </c>
      <c r="E30" s="14" t="inlineStr">
        <is>
          <t>Tata Kelola Data, Penyelenggaraan Informasi Geospasial, Pembangunan Statistik, Pelindungan Data Pribadi.</t>
        </is>
      </c>
      <c r="F30" s="14" t="inlineStr">
        <is>
          <t>Berdasarkan Peraturan Menteri PANRB Nomor 59 Tahun 2-023 tentang Evaluasi Sistem Pemerintahan Berbasis Elektronik, 4 indikator dalam **Aspek Data** adalah:
1. **Kebijakan Data**
2. **Tata Kelola Data**
3. **Manajemen Data**
4. **Pelayanan Data**</t>
        </is>
      </c>
      <c r="G30" s="15" t="n">
        <v>100</v>
      </c>
      <c r="H30" s="15" t="n">
        <v>5.77</v>
      </c>
      <c r="I30" s="15" t="n">
        <v>4.33</v>
      </c>
      <c r="J30" s="15" t="n">
        <v>86.62</v>
      </c>
      <c r="K30" s="15" t="n">
        <v>86.62</v>
      </c>
      <c r="L30" s="16" t="n">
        <v>0.1338</v>
      </c>
      <c r="M30" s="16" t="n">
        <v>0.1338</v>
      </c>
      <c r="N30" s="15" t="n">
        <v>13.38</v>
      </c>
      <c r="O30" s="17" t="inlineStr">
        <is>
          <t>PASSED</t>
        </is>
      </c>
      <c r="P30" s="16" t="n">
        <v>0.8662</v>
      </c>
    </row>
    <row r="31">
      <c r="A31" s="12" t="n">
        <v>23</v>
      </c>
      <c r="B31" s="13" t="inlineStr">
        <is>
          <t>Faktual</t>
        </is>
      </c>
      <c r="C31" s="13" t="inlineStr">
        <is>
          <t>google/gemma-4-26b-a4b-it:free</t>
        </is>
      </c>
      <c r="D31" s="14" t="inlineStr">
        <is>
          <t>Bagaimana AI dapat dimanfaatkan untuk meningkatkan kualitas layanan publik?</t>
        </is>
      </c>
      <c r="E31" s="14" t="inlineStr">
        <is>
          <t>Membantu otomatisasi layanan, analisis data, dan penyediaan informasi yang lebih cepat dan akurat.</t>
        </is>
      </c>
      <c r="F31" s="14" t="inlineStr">
        <is>
          <t>Pemanfaatan AI untuk meningkatkan kualitas layanan publik dalam kerangka SPBE dapat dilakukan melalui empat aspek utama:
1.  **Otomasi Layanan (Chatbot &amp; Virtual Assistant):** Menyediakan layanan informasi 24/7 yang responsif untuk menjawab pertanyaan masyarakat secara cepat dan akurat tanpa ketergantangan pada operator manusia.
2.  **Analisis Data Prediktif (Data-Driven Policy):** Mengolah data besar (*Big Data*) pemerintah untuk memprediksi tren kebutuhan publik, mendeteksi anomali (seperti indikasi korupsi), dan mendukung pengambilan keputusan berbasis data (*evidence-based policy*).
3.est. **Personalisasi Layanan:** Memberikan rekomendasi layanan yang relevan kepada warga berdasarkan profil dan kebutuhan spesifik mereka (seperti notifikasi bantuan sosial atau jadwal layanan kesehatan).
4.  **Efisiasi Administrasi (Back-office):** Mengotomasi tugas rutin administratif (seperti klasifikasi dokumen atau entri data) guna mempercepat proses birokrasi dan mengurangi kesalahan manusia (*human error*).
**Catatan Regulasi:** Implementasi AI wajib tetap mengacu pada prinsip **Keamanan Informasi**, **Perlindungan Data Pribadi (UU PDP)**, dan **Etika Kecerdasan Artifisial** untuk menjaga kepercayaan publik.</t>
        </is>
      </c>
      <c r="G31" s="15" t="n">
        <v>100</v>
      </c>
      <c r="H31" s="15" t="n">
        <v>25.61</v>
      </c>
      <c r="I31" s="15" t="n">
        <v>4.26</v>
      </c>
      <c r="J31" s="15" t="n">
        <v>85.17</v>
      </c>
      <c r="K31" s="15" t="n">
        <v>85.17</v>
      </c>
      <c r="L31" s="16" t="n">
        <v>0.1483</v>
      </c>
      <c r="M31" s="16" t="n">
        <v>0.1483</v>
      </c>
      <c r="N31" s="15" t="n">
        <v>14.83</v>
      </c>
      <c r="O31" s="17" t="inlineStr">
        <is>
          <t>PASSED</t>
        </is>
      </c>
      <c r="P31" s="16" t="n">
        <v>0.8517</v>
      </c>
    </row>
    <row r="32">
      <c r="A32" s="12" t="n">
        <v>24</v>
      </c>
      <c r="B32" s="13" t="inlineStr">
        <is>
          <t>Analisis</t>
        </is>
      </c>
      <c r="C32" s="13" t="inlineStr">
        <is>
          <t>google/gemma-4-26b-a4b-it:free</t>
        </is>
      </c>
      <c r="D32" s="14" t="inlineStr">
        <is>
          <t>Mengapa data berkualitas penting dalam proses perumusan kebijakan?</t>
        </is>
      </c>
      <c r="E32" s="14" t="inlineStr">
        <is>
          <t>Karena kebijakan yang baik harus didasarkan pada data yang akurat, lengkap, dan terpercaya</t>
        </is>
      </c>
      <c r="F32" s="14" t="inlineStr">
        <is>
          <t>Data berkualitas penting dalam perumusan kebijakan karena:
1.  **Akurasi Pengambilan Keputusan:** Menjamin kebijakan didasarkan pada fakta riil (evidance-based policy), bukan asumsi, sehingga meminimalkan risiko kegagalan.
2.  **Ketepatan Sasaran:** Memastikan intervensi pemerintah (seperti bantuan sosial atau pembangunan infrastruktur) menjangkau kelompok masyarakat yang benar-benar membutuhkan.
3.terhadap **Efisi_siensi Anggaran:** Mencegah pemborosan sumber daya negara akibat alokasi yang salah sasaran atau duplikasi program.
4.  **Prediksi dan Mitigasi:** Memungkinkan pemerintah melakukan simulasi dampak kebijakan di masa depan melalui analisis tren yang valid.
5._**Kepatuhan Tata Kelola Data:** Mendukung prinsip **Satu Data Indonesia** (Perpres 39/2019) guna menciptakan integrasi data antar instansi pemerintah yang akurat dan dapat diandalkan._</t>
        </is>
      </c>
      <c r="G32" s="15" t="n">
        <v>100</v>
      </c>
      <c r="H32" s="15" t="n">
        <v>13.65</v>
      </c>
      <c r="I32" s="15" t="n">
        <v>4.32</v>
      </c>
      <c r="J32" s="15" t="n">
        <v>86.34999999999999</v>
      </c>
      <c r="K32" s="15" t="n">
        <v>86.34999999999999</v>
      </c>
      <c r="L32" s="16" t="n">
        <v>0.1365</v>
      </c>
      <c r="M32" s="16" t="n">
        <v>0.1365</v>
      </c>
      <c r="N32" s="15" t="n">
        <v>13.65</v>
      </c>
      <c r="O32" s="17" t="inlineStr">
        <is>
          <t>PASSED</t>
        </is>
      </c>
      <c r="P32" s="16" t="n">
        <v>0.8635</v>
      </c>
    </row>
    <row r="33">
      <c r="A33" s="12" t="n">
        <v>25</v>
      </c>
      <c r="B33" s="13" t="inlineStr">
        <is>
          <t>Faktual</t>
        </is>
      </c>
      <c r="C33" s="13" t="inlineStr">
        <is>
          <t>google/gemma-4-26b-a4b-it:free</t>
        </is>
      </c>
      <c r="D33" s="14" t="inlineStr">
        <is>
          <t>Secara umum, apa fungsi metadata dalam tata kelola data?</t>
        </is>
      </c>
      <c r="E33" s="14" t="inlineStr">
        <is>
          <t>Menjelaskan konteks, struktur, dan makna data agar mudah ditemukan, dipahami, dan digunakan ulang.</t>
        </is>
      </c>
      <c r="F33" s="14" t="inlineStr">
        <is>
          <t>Secara umum, dalam tata kelola data, metadata berfungsi sebagai **"data tentang data"** yang memiliki peran utama sebagai berikut:
1.  **Identifikasi &amp; Deskripsi:** Memberikan informasi terstruktur mengenai isi, konteks, format, dan karakteristik suatu data agar mudah dikenali.
2.  **Navigasi &amp; Temu Balik (*Searchability*):** Memudahkan pencarian, penemuan, dan pengorganisasian data dalam suatu sistem atau repositori.
3. standar **Interoperabilitas:** Memungkinkan pertukaran data antar sistem/instansi melalui standarisasi makna dan struktur (penting dalam integrasi data nasional).
4.  **Konteks &amp; Interpretasi:** Memberikan pemahaman bagi pengguna mengenai asal-usul (*lineage*), definisi, dan cara penggunaan data agar tidak terjadi salah interpretasi.
5. **Keamanan &amp; Tata Kelola:** Menyediakan informasi mengenai hak akses, klasifikasi keamanan, dan masa retensi data untuk memastikan kepatuhan terhadap regulasi.</t>
        </is>
      </c>
      <c r="G33" s="15" t="n">
        <v>100</v>
      </c>
      <c r="H33" s="15" t="n">
        <v>14.42</v>
      </c>
      <c r="I33" s="15" t="n">
        <v>4.28</v>
      </c>
      <c r="J33" s="15" t="n">
        <v>85.67</v>
      </c>
      <c r="K33" s="15" t="n">
        <v>85.67</v>
      </c>
      <c r="L33" s="16" t="n">
        <v>0.1433</v>
      </c>
      <c r="M33" s="16" t="n">
        <v>0.1433</v>
      </c>
      <c r="N33" s="15" t="n">
        <v>14.33</v>
      </c>
      <c r="O33" s="17" t="inlineStr">
        <is>
          <t>PASSED</t>
        </is>
      </c>
      <c r="P33" s="16" t="n">
        <v>0.8567</v>
      </c>
    </row>
    <row r="34">
      <c r="A34" s="12" t="n">
        <v>26</v>
      </c>
      <c r="B34" s="13" t="inlineStr">
        <is>
          <t>Faktual</t>
        </is>
      </c>
      <c r="C34" s="13" t="inlineStr">
        <is>
          <t>google/gemma-4-26b-a4b-it:free</t>
        </is>
      </c>
      <c r="D34" s="14" t="inlineStr">
        <is>
          <t>Apa yang dimaksud dengan layanan publik berbasis siklus hidup (life event)?</t>
        </is>
      </c>
      <c r="E34" s="14" t="inlineStr">
        <is>
          <t>Layanan yang dirancang mengikuti peristiwa hidup warga (lahir, sekolah, kerja, dsb.) bukan per-instansi.</t>
        </is>
      </c>
      <c r="F34" s="14" t="inlineStr">
        <is>
          <t>Layanan publik berbasis **siklus hidup (*life event*)** adalah pendekatan penyelenggaraan layanan digital yang disusun berdasarkan tahapan peristiwa penting yang dialami oleh warga negara (seperti kelahiran, pendidikan, pernikahan, hingga kematian), bukan berdasarkan struktur organisasi atau silo instansi pemerintah.
**Inti Konsep:**
1.  **Berorientasi pada Warga:** Layanan dirancang mengikuti alur kebutuhan manusia, bukan alur birokrasi.
2.- **Interoperabilitas:** Menghubungkan berbagai instansi pemerintah dalam satu alur proses yang terintegrasi.
3.**Efisiensi:** Warga tidak perlu berulang kali memasukkan data yang sama ke aplikasi berbeda karena data telah terintegrasi dalam satu siklus layanan.</t>
        </is>
      </c>
      <c r="G34" s="15" t="n">
        <v>100</v>
      </c>
      <c r="H34" s="15" t="n">
        <v>8.93</v>
      </c>
      <c r="I34" s="15" t="n">
        <v>4.38</v>
      </c>
      <c r="J34" s="15" t="n">
        <v>87.61</v>
      </c>
      <c r="K34" s="15" t="n">
        <v>87.61</v>
      </c>
      <c r="L34" s="16" t="n">
        <v>0.1239</v>
      </c>
      <c r="M34" s="16" t="n">
        <v>0.1239</v>
      </c>
      <c r="N34" s="15" t="n">
        <v>12.39</v>
      </c>
      <c r="O34" s="17" t="inlineStr">
        <is>
          <t>PASSED</t>
        </is>
      </c>
      <c r="P34" s="16" t="n">
        <v>0.8761</v>
      </c>
    </row>
    <row r="35">
      <c r="A35" s="12" t="n">
        <v>27</v>
      </c>
      <c r="B35" s="13" t="inlineStr">
        <is>
          <t>Analisis</t>
        </is>
      </c>
      <c r="C35" s="13" t="inlineStr">
        <is>
          <t>google/gemma-4-26b-a4b-it:free</t>
        </is>
      </c>
      <c r="D35" s="14" t="inlineStr">
        <is>
          <t>Mengapa pengukuran berbasis indeks digunakan dalam evaluasi pemerintahan?</t>
        </is>
      </c>
      <c r="E35" s="14" t="inlineStr">
        <is>
          <t>Untuk menstandarkan penilaian, membandingkan antarinstansi, dan memantau kemajuan secara objektif.</t>
        </is>
      </c>
      <c r="F35" s="14" t="inlineStr">
        <is>
          <t>Pengukuran berbasis indeks digunakan dalam evaluasi pemerintahan (seperti Indeks SPBE) karena alasan berikut:
1.  **Standardisasi:** Menyediakan parameter yang seragam untuk membandingkan kinerja antar instansi (pusat/daerah) secara objektif.
2.- **Kuantifikasi Kinerja:** Mengubah data kualitatif yang kompleks menjadi angka (skor) agar kemajuan dapat diukur secara konkret.
3.- **Pemetaan (Mapping):** Mengidentifikasi tingkat kematangan (*maturity level*) dan celah (*gap*) layanan secara cepat.
4.- **Dasar Kebijakan:** Memberikan basis data yang akurat bagi pemerintah untuk menentukan prioritas intervensi, alokasi sumber daya, dan perbaikan berkelanjutan.</t>
        </is>
      </c>
      <c r="G35" s="15" t="n">
        <v>100</v>
      </c>
      <c r="H35" s="15" t="n">
        <v>13.07</v>
      </c>
      <c r="I35" s="15" t="n">
        <v>4.32</v>
      </c>
      <c r="J35" s="15" t="n">
        <v>86.34999999999999</v>
      </c>
      <c r="K35" s="15" t="n">
        <v>86.34999999999999</v>
      </c>
      <c r="L35" s="16" t="n">
        <v>0.1365</v>
      </c>
      <c r="M35" s="16" t="n">
        <v>0.1365</v>
      </c>
      <c r="N35" s="15" t="n">
        <v>13.65</v>
      </c>
      <c r="O35" s="17" t="inlineStr">
        <is>
          <t>PASSED</t>
        </is>
      </c>
      <c r="P35" s="16" t="n">
        <v>0.8635</v>
      </c>
    </row>
    <row r="36">
      <c r="A36" s="12" t="n">
        <v>28</v>
      </c>
      <c r="B36" s="13" t="inlineStr">
        <is>
          <t>Evaluatif</t>
        </is>
      </c>
      <c r="C36" s="13" t="inlineStr">
        <is>
          <t>google/gemma-4-26b-a4b-it:free</t>
        </is>
      </c>
      <c r="D36" s="14" t="inlineStr">
        <is>
          <t>Apa manfaat audit keamanan informasi yang dilakukan secara berkala?</t>
        </is>
      </c>
      <c r="E36" s="14" t="inlineStr">
        <is>
          <t>Mengidentifikasi kerentanan, memastikan kepatuhan kontrol, dan mendorong perbaikan berkelanjutan.</t>
        </is>
      </c>
      <c r="F36" s="14" t="inlineStr">
        <is>
          <t>Manfaat audit keamanan informasi secara berkala dalam kerangka SPBE adalah:
1.  **Identifikasi Kerentanan:** Menemukan celah keamanan pada infrastruktur, aplikasi, dan data sebelum dieksploitasi oleh pihak tidak berwenang.
2.- **Kepatuhan Regulasi:** Memastikan tata kelola TI instansi selaras dengan standar keamanan (seperti ISO/IEC 27001) dan regulasi nasional (Perpres 95/2018 dan perubahannya).
3.- **Mitigasi Risiko:** Menilai efektivitas kontrol keamanan yang ada dan memberikan rekomendasi perbaikan untuk meminimalkan dampak insiden siber.
4.- **Penjaminan Integritas Data:** Menjamin aspek *Confidentiality, Integrity,* dan *Availability* (CIA) terhadap aset informasi pemerintah.
5.- **Peningkatan Kepercayaan Publik:** Membangun kepercayaan masyarakat terhadap layanan publik digital melalui sistem yang aman dan andal.</t>
        </is>
      </c>
      <c r="G36" s="15" t="n">
        <v>100</v>
      </c>
      <c r="H36" s="15" t="n">
        <v>134.21</v>
      </c>
      <c r="I36" s="15" t="n">
        <v>4.26</v>
      </c>
      <c r="J36" s="15" t="n">
        <v>85.23</v>
      </c>
      <c r="K36" s="15" t="n">
        <v>85.23</v>
      </c>
      <c r="L36" s="16" t="n">
        <v>0.1477</v>
      </c>
      <c r="M36" s="16" t="n">
        <v>0.1477</v>
      </c>
      <c r="N36" s="15" t="n">
        <v>14.77</v>
      </c>
      <c r="O36" s="17" t="inlineStr">
        <is>
          <t>PASSED</t>
        </is>
      </c>
      <c r="P36" s="16" t="n">
        <v>0.8522999999999999</v>
      </c>
    </row>
    <row r="37">
      <c r="A37" s="12" t="n">
        <v>29</v>
      </c>
      <c r="B37" s="13" t="inlineStr">
        <is>
          <t>Faktual</t>
        </is>
      </c>
      <c r="C37" s="13" t="inlineStr">
        <is>
          <t>google/gemma-4-26b-a4b-it:free</t>
        </is>
      </c>
      <c r="D37" s="14" t="inlineStr">
        <is>
          <t>Jelaskan konsep 'human-based governance' secara umum.</t>
        </is>
      </c>
      <c r="E37" s="14" t="inlineStr">
        <is>
          <t>Tata kelola yang berorientasi pada kebutuhan dan dampak nyata bagi manusia/pengguna layanan.</t>
        </is>
      </c>
      <c r="F37" s="14" t="inlineStr">
        <is>
          <t>**Human-based governance** adalah pendekatan tata kelola yang menempatkan **manusia (SDM)** sebagai pusat kendali, pengambil keputusan, dan penanggung jawab utama dalam penggunaan teknologi.
Inti konsepnya meliputi:
1. **Manusia sebagai Kendali:** Teknologi (seperti AI atau sistem otomatis) hanyalah alat pendukung; keputusan strategis dan kebijakan tetap berada di tangan manusia.
2. **Peningkatan Kapasitas:** Fokus pada pengembangan kompetensi, etika, dan literasi digital agar SDM mampu mengoperasikan dan mengawasi sistem digital secara efektif.
3.- **Akuntabilitas:** Menegaskan bahwa setiap tindakan sistem digital harus dapat dipertanggungjawabkan oleh pejabat atau aktor manusia yang berwenang.
4. **Human-Centric:** Desain sistem digital harus mempertimbangkan aspek kebutuhan, perilaku, dan kemudahan pengguna (manusia), bukan sekadar kecanggihan teknologi.</t>
        </is>
      </c>
      <c r="G37" s="15" t="n">
        <v>84.09</v>
      </c>
      <c r="H37" s="15" t="n">
        <v>15.25</v>
      </c>
      <c r="I37" s="15" t="n">
        <v>4.2</v>
      </c>
      <c r="J37" s="15" t="n">
        <v>84.09</v>
      </c>
      <c r="K37" s="15" t="n">
        <v>84.09</v>
      </c>
      <c r="L37" s="16" t="n">
        <v>0.1591</v>
      </c>
      <c r="M37" s="16" t="n">
        <v>0.1591</v>
      </c>
      <c r="N37" s="15" t="n">
        <v>15.91</v>
      </c>
      <c r="O37" s="18" t="inlineStr">
        <is>
          <t>FAILED</t>
        </is>
      </c>
      <c r="P37" s="16" t="n">
        <v>0.8409</v>
      </c>
    </row>
    <row r="38">
      <c r="A38" s="12" t="n">
        <v>30</v>
      </c>
      <c r="B38" s="13" t="inlineStr">
        <is>
          <t>Analisis</t>
        </is>
      </c>
      <c r="C38" s="13" t="inlineStr">
        <is>
          <t>google/gemma-4-26b-a4b-it:free</t>
        </is>
      </c>
      <c r="D38" s="14" t="inlineStr">
        <is>
          <t>Apa peran kepemimpinan digital (digital leadership) dalam transformasi instansi?</t>
        </is>
      </c>
      <c r="E38" s="14" t="inlineStr">
        <is>
          <t>Mengarahkan visi, budaya, dan keputusan strategis agar transformasi digital berjalan efektif.</t>
        </is>
      </c>
      <c r="F38" s="14" t="inlineStr">
        <is>
          <t>Dalam transformasi instansi berbasis SPBE, peran **Kepemimpinan Digital (*Digital Leadership*)** adalah sebagai berikut:
1.  **Penentu Arah Strategis:** Menyelaraskan visi teknologi dengan tujuan strategis organisasi (tidak sekadar membeli perangkat, tapi mengubah proses bisnis).
2.- **Penggerak Budaya Digital:** Mengubah pola pikir (*mindset*) birokrasi dari manual/silofis ke budaya kerja berbasis data dan kolaboratif.
3.- **Pengambil Keputusan Berbasis Data:** Memastikan kebijakan diambil berdasarkan analisis data (*data-driven decision making*) untuk meningkatkan akurasi kebijakan.
4.- **Manajemen Perubahan (*Change Management*):** Mengelola resistensi pegawai terhadap teknologi baru dan memastikan keberlanjutan adopsi digital.
5.- **Alokasi Sumber Daya:** Menjamin ketersediaan anggaran, SDM digital (talenta digital), dan infrastruktur yang mendukung integrasi sistem.
**Intinya:** Kepemimpinan digital adalah mesin penggerak yang mengubah teknologi menjadi nilai manfaat (kualitas layanan publik) melalui perubahan struktur, budaya, dan proses kerja.</t>
        </is>
      </c>
      <c r="G38" s="15" t="n">
        <v>100</v>
      </c>
      <c r="H38" s="15" t="n">
        <v>20.95</v>
      </c>
      <c r="I38" s="15" t="n">
        <v>4.43</v>
      </c>
      <c r="J38" s="15" t="n">
        <v>88.51000000000001</v>
      </c>
      <c r="K38" s="15" t="n">
        <v>88.51000000000001</v>
      </c>
      <c r="L38" s="16" t="n">
        <v>0.1149</v>
      </c>
      <c r="M38" s="16" t="n">
        <v>0.1149</v>
      </c>
      <c r="N38" s="15" t="n">
        <v>11.49</v>
      </c>
      <c r="O38" s="17" t="inlineStr">
        <is>
          <t>PASSED</t>
        </is>
      </c>
      <c r="P38" s="16" t="n">
        <v>0.8851</v>
      </c>
    </row>
    <row r="39">
      <c r="A39" s="12" t="n">
        <v>31</v>
      </c>
      <c r="B39" s="13" t="inlineStr">
        <is>
          <t>Ekstraksi</t>
        </is>
      </c>
      <c r="C39" s="13" t="inlineStr">
        <is>
          <t>google/gemma-4-26b-a4b-it:free</t>
        </is>
      </c>
      <c r="D39" s="14" t="inlineStr">
        <is>
          <t>Sebutkan dua tujuan utama visitasi atau observasi lapangan dalam evaluasi Pemdi.</t>
        </is>
      </c>
      <c r="E39" s="14" t="inlineStr">
        <is>
          <t>Memvalidasi bukti yang disampaikan dan mengonfirmasi kondisi implementasi di lapangan.</t>
        </is>
      </c>
      <c r="F39" s="14" t="inlineStr">
        <is>
          <t>Dua tujuan utama visitasi/observasi lapangan dalam evaluasi SPBE adalah:
1. **Verifikasi dan Validasi Data:** Memastikan kesesuaian antara bukti dukung (dokumen) yang diunggah dengan kondisi riil implementasi di lapangan.
2. **Uji Petik Implementasi:** Menguji sejauh mana kebijakan, proses bisnis, dan layanan digital telah diterapkan secara nyata oleh pengguna dan pengelola.</t>
        </is>
      </c>
      <c r="G39" s="15" t="n">
        <v>100</v>
      </c>
      <c r="H39" s="15" t="n">
        <v>10.05</v>
      </c>
      <c r="I39" s="15" t="n">
        <v>4.41</v>
      </c>
      <c r="J39" s="15" t="n">
        <v>88.29000000000001</v>
      </c>
      <c r="K39" s="15" t="n">
        <v>88.29000000000001</v>
      </c>
      <c r="L39" s="16" t="n">
        <v>0.1171</v>
      </c>
      <c r="M39" s="16" t="n">
        <v>0.1171</v>
      </c>
      <c r="N39" s="15" t="n">
        <v>11.71</v>
      </c>
      <c r="O39" s="17" t="inlineStr">
        <is>
          <t>PASSED</t>
        </is>
      </c>
      <c r="P39" s="16" t="n">
        <v>0.8829</v>
      </c>
    </row>
    <row r="40">
      <c r="A40" s="12" t="n">
        <v>32</v>
      </c>
      <c r="B40" s="13" t="inlineStr">
        <is>
          <t>Analisis</t>
        </is>
      </c>
      <c r="C40" s="13" t="inlineStr">
        <is>
          <t>google/gemma-4-26b-a4b-it:free</t>
        </is>
      </c>
      <c r="D40" s="14" t="inlineStr">
        <is>
          <t>Mengapa redundansi data antarinstansi dianggap masalah dalam pemerintahan?</t>
        </is>
      </c>
      <c r="E40" s="14" t="inlineStr">
        <is>
          <t>Menyebabkan inkonsistensi, pemborosan, dan menyulitkan integrasi layanan.</t>
        </is>
      </c>
      <c r="F40" s="14" t="inlineStr">
        <is>
          <t>Redundansi data antarinstansi dianggap masalah karena:
1.  **Inkonsistensi Data:** Perbedaan informasi mengenai objek yang sama antarinstansi menyebabkan ketidakakuratan pengambilan keputusan.
2.  **Pemborosan Sumber Daya:** Pemborosan biaya infrastruktur penyimpanan, biaya pengelolaan, dan beban kerja SDM untuk input data yang sama secara berulang.
3.th. **Inefisiensi Layanan:** Menghambat prinsip *Once-Only Principle* (masyarakat tidak perlu menyerahkan data yang sama berulang kali kepada instansi berbeda).
4.th. **Fragmentasi Data:** Sulitnya melakukan integrasi data nasional karena data tersebar dalam format dan standar yang berbeda-beda (silo data).
**Dasar Regulasi:** Perpres No. 92 Tahun 2020 tentang Sistem Pemerintahan Berbasis Elektronik (SPBE) yang mengamanatkan **Satu Data Indonesia** untuk menjamin data yang akurat, mutakhir, terpadu, dan dapat dipertanggungjawabkan.</t>
        </is>
      </c>
      <c r="G40" s="15" t="n">
        <v>100</v>
      </c>
      <c r="H40" s="15" t="n">
        <v>14.89</v>
      </c>
      <c r="I40" s="15" t="n">
        <v>4.3</v>
      </c>
      <c r="J40" s="15" t="n">
        <v>85.95999999999999</v>
      </c>
      <c r="K40" s="15" t="n">
        <v>85.95999999999999</v>
      </c>
      <c r="L40" s="16" t="n">
        <v>0.1404</v>
      </c>
      <c r="M40" s="16" t="n">
        <v>0.1404</v>
      </c>
      <c r="N40" s="15" t="n">
        <v>14.04</v>
      </c>
      <c r="O40" s="17" t="inlineStr">
        <is>
          <t>PASSED</t>
        </is>
      </c>
      <c r="P40" s="16" t="n">
        <v>0.8596</v>
      </c>
    </row>
    <row r="41">
      <c r="A41" s="12" t="n">
        <v>33</v>
      </c>
      <c r="B41" s="13" t="inlineStr">
        <is>
          <t>Faktual</t>
        </is>
      </c>
      <c r="C41" s="13" t="inlineStr">
        <is>
          <t>google/gemma-4-26b-a4b-it:free</t>
        </is>
      </c>
      <c r="D41" s="14" t="inlineStr">
        <is>
          <t>Apa fungsi forum data dalam koordinasi antar-unit penyelenggara?</t>
        </is>
      </c>
      <c r="E41" s="14" t="inlineStr">
        <is>
          <t>Wadah koordinasi untuk menyepakati standar, berbagi pakai, dan pemanfaatan data.</t>
        </is>
      </c>
      <c r="F41" s="14" t="inlineStr">
        <is>
          <t>Fungsi utama **Forum Data** dalam koordinasi antar-unit penyelenggara adalah:
1.  **Sinkronisasi dan Harmonisasi:** Menyelaraskan standar data, metadata, dan interoperabilitas antar-unit agar data tidak terfragmentasi (silo data).
2._**Penyelesaian Masalah (Problem Solving):** Menjadi wadah untuk mengatasi kendala teknis maupun administratif dalam pertukaran data antar-instansi/unit.
3. **Validasi dan Verifikasi:** Memastikan keakuratan, konsistensi, dan validitas data yang akan diintegrasikan ke dalam Satu Data Indonesia.
4. **Pengambilan Keputusan:** Menyediakan basis data yang terintegrasi sebagai bahan pertimbangan kebijakan bagi pimpinan/stakeholder terkait.</t>
        </is>
      </c>
      <c r="G41" s="15" t="n">
        <v>100</v>
      </c>
      <c r="H41" s="15" t="n">
        <v>18.27</v>
      </c>
      <c r="I41" s="15" t="n">
        <v>4.34</v>
      </c>
      <c r="J41" s="15" t="n">
        <v>86.77</v>
      </c>
      <c r="K41" s="15" t="n">
        <v>86.77</v>
      </c>
      <c r="L41" s="16" t="n">
        <v>0.1323</v>
      </c>
      <c r="M41" s="16" t="n">
        <v>0.1323</v>
      </c>
      <c r="N41" s="15" t="n">
        <v>13.23</v>
      </c>
      <c r="O41" s="17" t="inlineStr">
        <is>
          <t>PASSED</t>
        </is>
      </c>
      <c r="P41" s="16" t="n">
        <v>0.8677</v>
      </c>
    </row>
    <row r="42">
      <c r="A42" s="12" t="n">
        <v>34</v>
      </c>
      <c r="B42" s="13" t="inlineStr">
        <is>
          <t>Faktual</t>
        </is>
      </c>
      <c r="C42" s="13" t="inlineStr">
        <is>
          <t>google/gemma-4-26b-a4b-it:free</t>
        </is>
      </c>
      <c r="D42" s="14" t="inlineStr">
        <is>
          <t>Secara umum, apa itu manajemen risiko pada layanan digital?</t>
        </is>
      </c>
      <c r="E42" s="14" t="inlineStr">
        <is>
          <t>Proses mengidentifikasi, menilai, dan mengendalikan risiko terhadap keberlangsungan layanan.</t>
        </is>
      </c>
      <c r="F42" s="14" t="inlineStr">
        <is>
          <t>Manajemen risiko pada layanan digital adalah proses sistematis untuk **mengidentifikasi, menganalisis, mengevaluasi, dan memitigasi** potensi ancaman atau ketidakpastian yang dapat menghambat pencapaian tujuan layanan digital.
Dalam konteks SPBE, fokus utamanya meliputi:
1.  **Keamanan Informasi:** Melindungi kerahasiaan (*confidentiality*), keutuhan (*integrity*), dan ketersediaan (*availability*) data.
2.  **Keberlangsungan Layanan:** Memastikan layanan tetap berjalan meskipun terjadi gangguan teknis atau bencana.
3.  **Kepatuhan Regulasi:** Memastikan layanan sesuai dengan standar hukum dan tata kelola yang berlaku.
4.  **Mitigasi Dampak:** Mengurangi kerugian finansial, reputasi, maupun operasional akibat kegagalan sistem atau serangan siber.</t>
        </is>
      </c>
      <c r="G42" s="15" t="n">
        <v>100</v>
      </c>
      <c r="H42" s="15" t="n">
        <v>6.4</v>
      </c>
      <c r="I42" s="15" t="n">
        <v>4.39</v>
      </c>
      <c r="J42" s="15" t="n">
        <v>87.79000000000001</v>
      </c>
      <c r="K42" s="15" t="n">
        <v>87.79000000000001</v>
      </c>
      <c r="L42" s="16" t="n">
        <v>0.1221</v>
      </c>
      <c r="M42" s="16" t="n">
        <v>0.1221</v>
      </c>
      <c r="N42" s="15" t="n">
        <v>12.21</v>
      </c>
      <c r="O42" s="17" t="inlineStr">
        <is>
          <t>PASSED</t>
        </is>
      </c>
      <c r="P42" s="16" t="n">
        <v>0.8779</v>
      </c>
    </row>
    <row r="43">
      <c r="A43" s="12" t="n">
        <v>35</v>
      </c>
      <c r="B43" s="13" t="inlineStr">
        <is>
          <t>Faktual</t>
        </is>
      </c>
      <c r="C43" s="13" t="inlineStr">
        <is>
          <t>google/gemma-4-26b-a4b-it:free</t>
        </is>
      </c>
      <c r="D43" s="14" t="inlineStr">
        <is>
          <t>Apa yang dimaksud dengan manajemen perubahan dalam organisasi digital?</t>
        </is>
      </c>
      <c r="E43" s="14" t="inlineStr">
        <is>
          <t>Pendekatan terstruktur mengelola transisi orang, proses, dan teknologi agar perubahan berhasil diadopsi.</t>
        </is>
      </c>
      <c r="F43" s="14" t="inlineStr">
        <is>
          <t>Dalam konteks organisasi digital dan SPBE, **Manajemen Perubahan** adalah pendekatan terstruktur untuk mengelola aspek manusia (budaya, perilaku, dan kompetensi) guna memastikan transisi dari proses bisnis manual ke proses berbasis digital berjalan efektif.
Fokus utamanya meliputi:
1.  **Perubahan Budaya Kerja:** Peralihan dari budaya kerja konvensional ke budaya digital (digital mindset).
2.- **Kesiapan SDM:** Peningkatan kompetensi digital aparatur agar mampu mengoperasikan teknologi baru.
3.- **Mitigasi Resistensi:** Strategi untuk meminimalisir penolakan terhadap penerapan sistem/aplikasi baru.
4.- **Keberlanjutan:** Memastikan teknologi yang diterapkan benar-benar diadopsi dan digunakan secara optimal untuk mencapai tujuan organisasi.</t>
        </is>
      </c>
      <c r="G43" s="15" t="n">
        <v>100</v>
      </c>
      <c r="H43" s="15" t="n">
        <v>9.699999999999999</v>
      </c>
      <c r="I43" s="15" t="n">
        <v>4.34</v>
      </c>
      <c r="J43" s="15" t="n">
        <v>86.75</v>
      </c>
      <c r="K43" s="15" t="n">
        <v>86.75</v>
      </c>
      <c r="L43" s="16" t="n">
        <v>0.1325</v>
      </c>
      <c r="M43" s="16" t="n">
        <v>0.1325</v>
      </c>
      <c r="N43" s="15" t="n">
        <v>13.25</v>
      </c>
      <c r="O43" s="17" t="inlineStr">
        <is>
          <t>PASSED</t>
        </is>
      </c>
      <c r="P43" s="16" t="n">
        <v>0.8675</v>
      </c>
    </row>
    <row r="44">
      <c r="A44" s="12" t="n">
        <v>36</v>
      </c>
      <c r="B44" s="13" t="inlineStr">
        <is>
          <t>Evaluatif</t>
        </is>
      </c>
      <c r="C44" s="13" t="inlineStr">
        <is>
          <t>google/gemma-4-26b-a4b-it:free</t>
        </is>
      </c>
      <c r="D44" s="14" t="inlineStr">
        <is>
          <t>Mengapa keterlibatan kelompok rentan penting dalam desain layanan publik?</t>
        </is>
      </c>
      <c r="E44" s="14" t="inlineStr">
        <is>
          <t>Untuk memastikan inklusivitas dan aksesibilitas layanan bagi disabilitas, lansia, dan kelompok lain.</t>
        </is>
      </c>
      <c r="F44" s="14" t="inlineStr">
        <is>
          <t>Keterlibatan kelompok rentan dalam desain layanan publik penting karena:
1.  **Prinsur Inklusivitas:** Memastikan layanan dapat diakses oleh semua warga negara tanpa diskriminasi (sesuai prinsip *Leave No One Behind*).
2.- **Aksesibilitibilitas (Universal Design):** Menjamin desain antarmuka (UI/UX) dan infrastruktur digital ramah terhadap disabilitas, lansia, dan masyarakat dengan keterbatasan literasi digital.
3. **Akurasi Kebutuhan:** Menghindari bias desain sehingga fitur layanan benar-benar menjawab hambatan riil yang dihadapi kelompok rentan.
4. **Keadilan Digital:** Mengurangi kesenjangan digital (*digital divide*) agar kelompok rentan tidak teralienasi dari pemenuhan hak dasar melalui layanan pemerintah.</t>
        </is>
      </c>
      <c r="G44" s="15" t="n">
        <v>100</v>
      </c>
      <c r="H44" s="15" t="n">
        <v>12.21</v>
      </c>
      <c r="I44" s="15" t="n">
        <v>4.32</v>
      </c>
      <c r="J44" s="15" t="n">
        <v>86.45</v>
      </c>
      <c r="K44" s="15" t="n">
        <v>86.45</v>
      </c>
      <c r="L44" s="16" t="n">
        <v>0.1355</v>
      </c>
      <c r="M44" s="16" t="n">
        <v>0.1355</v>
      </c>
      <c r="N44" s="15" t="n">
        <v>13.55</v>
      </c>
      <c r="O44" s="17" t="inlineStr">
        <is>
          <t>PASSED</t>
        </is>
      </c>
      <c r="P44" s="16" t="n">
        <v>0.8645</v>
      </c>
    </row>
    <row r="45">
      <c r="A45" s="12" t="n">
        <v>37</v>
      </c>
      <c r="B45" s="13" t="inlineStr">
        <is>
          <t>Faktual</t>
        </is>
      </c>
      <c r="C45" s="13" t="inlineStr">
        <is>
          <t>google/gemma-4-26b-a4b-it:free</t>
        </is>
      </c>
      <c r="D45" s="14" t="inlineStr">
        <is>
          <t>Apa peran chatbot atau widget umpan balik dalam layanan digital?</t>
        </is>
      </c>
      <c r="E45" s="14" t="inlineStr">
        <is>
          <t>Menyediakan kanal interaksi dan masukan pengguna secara langsung untuk perbaikan layanan.</t>
        </is>
      </c>
      <c r="F45" s="14" t="inlineStr">
        <is>
          <t>Dalam tata kelola layanan digital (termasuk dalam kerangka SPBE), peran chatbot dan widget umpan balik adalah:
1.  **Automasi Layanan (Chatbot):** Menyediakan layanan informasi dan bantuan mandiri (*self-service*) secara cepat selama 24/7 untuk meningkatkan efisiensi operasional.
2.- **Interaktivitas Pengguna:** Mempermudah aksesibilitas pengguna dalam mendapatkan bantuan tanpa harus menunggu respon manual dari petugas (mengurangi *waiting time*).
3. **Mekanisme Umpan Balik (Widget):** Sebagai instrumumen pengumpulan data kepuasan pengguna secara *real-time*.
4. **Bahan Evaluasi &amp; Perbaikan (Continuous Improvement):** Data dari chatbot dan widget berfungsi sebagai input untuk analisis kebutuhan pengguna, yang menjadi dasar perbaikan fitur atau kebijakan layanan digital secara berkelanjutan.
5. **Indikator Kualitas Layanan:** Menjadi parameter pengukuran kinerja layanan digital dalam kerangka keterpaduan layanan publik.</t>
        </is>
      </c>
      <c r="G45" s="15" t="n">
        <v>100</v>
      </c>
      <c r="H45" s="15" t="n">
        <v>13.15</v>
      </c>
      <c r="I45" s="15" t="n">
        <v>4.33</v>
      </c>
      <c r="J45" s="15" t="n">
        <v>86.53</v>
      </c>
      <c r="K45" s="15" t="n">
        <v>86.53</v>
      </c>
      <c r="L45" s="16" t="n">
        <v>0.1347</v>
      </c>
      <c r="M45" s="16" t="n">
        <v>0.1347</v>
      </c>
      <c r="N45" s="15" t="n">
        <v>13.47</v>
      </c>
      <c r="O45" s="17" t="inlineStr">
        <is>
          <t>PASSED</t>
        </is>
      </c>
      <c r="P45" s="16" t="n">
        <v>0.8653</v>
      </c>
    </row>
    <row r="46">
      <c r="A46" s="12" t="n">
        <v>38</v>
      </c>
      <c r="B46" s="13" t="inlineStr">
        <is>
          <t>Faktual</t>
        </is>
      </c>
      <c r="C46" s="13" t="inlineStr">
        <is>
          <t>google/gemma-4-26b-a4b-it:free</t>
        </is>
      </c>
      <c r="D46" s="14" t="inlineStr">
        <is>
          <t>Jelaskan secara umum apa itu analisis sentimen pengguna.</t>
        </is>
      </c>
      <c r="E46" s="14" t="inlineStr">
        <is>
          <t>Teknik menilai opini/emosi pengguna dari teks untuk mengukur kepuasan terhadap layanan.</t>
        </is>
      </c>
      <c r="F46" s="14" t="inlineStr">
        <is>
          <t>**Analisis sentimen pengguna** adalah teknik pengolahan data (biasanya berbasis *Natural Language Processing*) untuk mengidentifikasi, mengekstraksi, dan mengklasifikasikan opini, sikap, atau emosi pengguna dalam bentuk teks (seperti komentar, keluhan, atau ulasan).
Dalam konteks SPBE, analisis ini digunakan untuk:
1. **Mengukur kepuasan masyarakat** terhadap layanan publik digital.
2. **Mendeteksi isu atau keluhan** secara dini melalui media sosial atau kanal aduan.
3. **Evaluasi kebijakan** berbasis data persepsi publik guna mendukung pengambilan keputusan yang tepat.</t>
        </is>
      </c>
      <c r="G46" s="15" t="n">
        <v>100</v>
      </c>
      <c r="H46" s="15" t="n">
        <v>10.5</v>
      </c>
      <c r="I46" s="15" t="n">
        <v>4.45</v>
      </c>
      <c r="J46" s="15" t="n">
        <v>88.91</v>
      </c>
      <c r="K46" s="15" t="n">
        <v>88.91</v>
      </c>
      <c r="L46" s="16" t="n">
        <v>0.1109</v>
      </c>
      <c r="M46" s="16" t="n">
        <v>0.1109</v>
      </c>
      <c r="N46" s="15" t="n">
        <v>11.09</v>
      </c>
      <c r="O46" s="17" t="inlineStr">
        <is>
          <t>PASSED</t>
        </is>
      </c>
      <c r="P46" s="16" t="n">
        <v>0.8891</v>
      </c>
    </row>
    <row r="47">
      <c r="A47" s="12" t="n">
        <v>39</v>
      </c>
      <c r="B47" s="13" t="inlineStr">
        <is>
          <t>Faktual</t>
        </is>
      </c>
      <c r="C47" s="13" t="inlineStr">
        <is>
          <t>google/gemma-4-26b-a4b-it:free</t>
        </is>
      </c>
      <c r="D47" s="14" t="inlineStr">
        <is>
          <t>Apa yang dimaksud dengan Infrastruktur Informasi Vital?</t>
        </is>
      </c>
      <c r="E47" s="14" t="inlineStr">
        <is>
          <t>Sistem/aset informasi yang sangat penting sehingga gangguannya berdampak luas dan perlu pelindungan khusus.</t>
        </is>
      </c>
      <c r="F47" s="14" t="inlineStr">
        <is>
          <t>**Infrastruktur Informasi Vital (IIV)** adalah aset infrastruktur informasi yang sangat penting bagi keberlangsungan layanan publik, keamanan negara, atau ekonomi nasional, di mana kegagalan atau gangguan padanya dapat berdampak signifikan pada stabilitas, keamanan, dan kesejahteraan negara.
Dalam konteks SPBE, pengelolaan IIV bertujuan untuk menjamin ketersediaan, keutuhan, dan kerahasiaan data serta layanan kritikal melalui mekanisme perlindungan keamanan siber yang ketat.</t>
        </is>
      </c>
      <c r="G47" s="15" t="n">
        <v>100</v>
      </c>
      <c r="H47" s="15" t="n">
        <v>9.69</v>
      </c>
      <c r="I47" s="15" t="n">
        <v>4.35</v>
      </c>
      <c r="J47" s="15" t="n">
        <v>86.94</v>
      </c>
      <c r="K47" s="15" t="n">
        <v>86.94</v>
      </c>
      <c r="L47" s="16" t="n">
        <v>0.1306</v>
      </c>
      <c r="M47" s="16" t="n">
        <v>0.1306</v>
      </c>
      <c r="N47" s="15" t="n">
        <v>13.06</v>
      </c>
      <c r="O47" s="17" t="inlineStr">
        <is>
          <t>PASSED</t>
        </is>
      </c>
      <c r="P47" s="16" t="n">
        <v>0.8694</v>
      </c>
    </row>
    <row r="48">
      <c r="A48" s="12" t="n">
        <v>40</v>
      </c>
      <c r="B48" s="13" t="inlineStr">
        <is>
          <t>Evaluatif</t>
        </is>
      </c>
      <c r="C48" s="13" t="inlineStr">
        <is>
          <t>google/gemma-4-26b-a4b-it:free</t>
        </is>
      </c>
      <c r="D48" s="14" t="inlineStr">
        <is>
          <t>Apa manfaat dashboard publik untuk transparansi kinerja layanan?</t>
        </is>
      </c>
      <c r="E48" s="14" t="inlineStr">
        <is>
          <t>Memberi akuntabilitas, memudahkan pemantauan publik, dan mendorong perbaikan berbasis data.</t>
        </is>
      </c>
      <c r="F48" s="14" t="inlineStr">
        <is>
          <t>Manfaat dashboard publik untuk transparansi kinerja layanan dalam kerangka SPBE adalah:
1.  **Akuntabilitas Publik:** Memberikan bukti visual real-time mengenai pencapaian target kinerja dan penggunaan anggaran kepada masyarakat.
2.  **Pengawasan Partisipatif:** Memungkinkan masyarakat memantau kualitas layanan secara langsung, sehingga mendorong pengawasan sosial terhadap instansi pemerintah.
3.  **Kepercayaan Publik (*Public Trust*):** Meningkatkan kepercayaan masyarakat melalui keterbukaan informasi yang mudah diakses dan dipahami.
4.  **Alat Evaluasi Terbuka:** Menyediakan data pembanding yang objektif bagi publik dan pemangku kepentingan untuk menilai efektivitas kebijakan/layanan.
5.  **Reduksi Asimetri Informasi:** Menghilangkan kesenjangan informasi antara pemerintah sebagai penyedia layanan dan masyarakat sebagai pengguna layanan.</t>
        </is>
      </c>
      <c r="G48" s="15" t="n">
        <v>100</v>
      </c>
      <c r="H48" s="15" t="n">
        <v>5.84</v>
      </c>
      <c r="I48" s="15" t="n">
        <v>4.33</v>
      </c>
      <c r="J48" s="15" t="n">
        <v>86.58</v>
      </c>
      <c r="K48" s="15" t="n">
        <v>86.58</v>
      </c>
      <c r="L48" s="16" t="n">
        <v>0.1342</v>
      </c>
      <c r="M48" s="16" t="n">
        <v>0.1342</v>
      </c>
      <c r="N48" s="15" t="n">
        <v>13.42</v>
      </c>
      <c r="O48" s="17" t="inlineStr">
        <is>
          <t>PASSED</t>
        </is>
      </c>
      <c r="P48" s="16" t="n">
        <v>0.8658</v>
      </c>
    </row>
    <row r="49">
      <c r="A49" s="12" t="n">
        <v>41</v>
      </c>
      <c r="B49" s="13" t="inlineStr">
        <is>
          <t>Faktual</t>
        </is>
      </c>
      <c r="C49" s="13" t="inlineStr">
        <is>
          <t>google/gemma-4-26b-a4b-it:free</t>
        </is>
      </c>
      <c r="D49" s="14" t="inlineStr">
        <is>
          <t>Apa yang dimaksud dengan Penanganan Insiden Siber dalam Pemerintah Digital?</t>
        </is>
      </c>
      <c r="E49" s="14" t="inlineStr">
        <is>
          <t>Penanganan Insiden Siber adalah kemampuan dalam mendeteksi, merespons, dan menangani insiden keamanan siber secara terstruktur untuk menjaga keamanan dan keberlangsungan layanan Pemerintah Digital.</t>
        </is>
      </c>
      <c r="F49" s="14" t="inlineStr">
        <is>
          <t>**Penanganan Insiden Siber** dalam Pemerintah Digital adalah serangkaian proses sistematis untuk mendeteksi, merespons, memitigasi, dan memulihkan sistem informasi dari serangan atau gangguan keamanan siber guna menjaga keberlangsungan layanan publik dan melindungi aset data negara.
Berdasarkan kerangka tata kelola SPBE, komponen utamanya meliputi:
1.  **Identifikasi:** Menemukan adanya anomali atau serangan.
 prepared **2. Mitigasi:** Membatasi dampak serangan agar tidak meluas.
3.  **Pemulihan (Recovery):** Mengembalikan sistem ke kondisi normal.
4.  **Evaluasi:** Analisis penyebab (root cause) untuk mencegah kejadian berulang.
Pelaksanaannya di Indonesia dikoordinasikan oleh **BSSN (Badan Siber dan Sandi Negara)** melalui tim **CSIRT (*Computer Security Incident Response Team*)** di setiap instansi pemerintah.</t>
        </is>
      </c>
      <c r="G49" s="15" t="n">
        <v>100</v>
      </c>
      <c r="H49" s="15" t="n">
        <v>17.21</v>
      </c>
      <c r="I49" s="15" t="n">
        <v>4.47</v>
      </c>
      <c r="J49" s="15" t="n">
        <v>89.48</v>
      </c>
      <c r="K49" s="15" t="n">
        <v>89.48</v>
      </c>
      <c r="L49" s="16" t="n">
        <v>0.1052</v>
      </c>
      <c r="M49" s="16" t="n">
        <v>0.1052</v>
      </c>
      <c r="N49" s="15" t="n">
        <v>10.52</v>
      </c>
      <c r="O49" s="17" t="inlineStr">
        <is>
          <t>PASSED</t>
        </is>
      </c>
      <c r="P49" s="16" t="n">
        <v>0.8948</v>
      </c>
    </row>
    <row r="50">
      <c r="A50" s="12" t="n">
        <v>42</v>
      </c>
      <c r="B50" s="13" t="inlineStr">
        <is>
          <t>Faktual</t>
        </is>
      </c>
      <c r="C50" s="13" t="inlineStr">
        <is>
          <t>google/gemma-4-26b-a4b-it:free</t>
        </is>
      </c>
      <c r="D50" s="14" t="inlineStr">
        <is>
          <t>Apa yang dimaksud dengan Informasi Geospasial dan perannya dalam layanan digital pemerintah?</t>
        </is>
      </c>
      <c r="E50" s="14" t="inlineStr">
        <is>
          <t>Informasi Geospasial adalah data yang memiliki informasi lokasi di permukaan bumi dan digunakan untuk mendukung perencanaan, pengambilan keputusan, dan layanan pemerintah berbasis lokasi.</t>
        </is>
      </c>
      <c r="F50" s="14" t="inlineStr">
        <is>
          <t>**Informasi Geospasial (IG)** adalah data, informasi, dan objek yang memiliki referensi posisi pada permukaan bumi.
**Perannya dalam layanan digital pemerintah:**
1.  **Dasar Pengambilan Keputusan:** Menyediakan visualisasi lokasi untuk perencanaan wilayah, tata ruang, dan mitigasi bencana secara akurat.
2.  **Integrasi Data (One Map Policy):** Menjadi referensi spasial tunggal agar tidak terjadi tumpang tindih pemanfaatan lahan antar instansi.
3.  **Optimasi Layanan Publik:** Mendukung fitur berbasis lokasi (*location-based services*) pada aplikasi pemerintah, seperti pemetaan infrastruktur, sebaran bantuan sosial, dan manajemen aset negara.
4.ing **Efisi kasi Tata Kelola:** Mempercepat integrasi data antar instansi melalui interoperabilitas data berbasis koordinat geografis.</t>
        </is>
      </c>
      <c r="G50" s="15" t="n">
        <v>100</v>
      </c>
      <c r="H50" s="15" t="n">
        <v>13.62</v>
      </c>
      <c r="I50" s="15" t="n">
        <v>4.37</v>
      </c>
      <c r="J50" s="15" t="n">
        <v>87.37</v>
      </c>
      <c r="K50" s="15" t="n">
        <v>87.37</v>
      </c>
      <c r="L50" s="16" t="n">
        <v>0.1263</v>
      </c>
      <c r="M50" s="16" t="n">
        <v>0.1263</v>
      </c>
      <c r="N50" s="15" t="n">
        <v>12.63</v>
      </c>
      <c r="O50" s="17" t="inlineStr">
        <is>
          <t>PASSED</t>
        </is>
      </c>
      <c r="P50" s="16" t="n">
        <v>0.8737</v>
      </c>
    </row>
    <row r="51">
      <c r="A51" s="12" t="n">
        <v>43</v>
      </c>
      <c r="B51" s="13" t="inlineStr">
        <is>
          <t>Ekstraksi</t>
        </is>
      </c>
      <c r="C51" s="13" t="inlineStr">
        <is>
          <t>google/gemma-4-26b-a4b-it:free</t>
        </is>
      </c>
      <c r="D51" s="14" t="inlineStr">
        <is>
          <t>Sebutkan tiga aktivitas yang termasuk dalam tata kelola digital instansi pemerintah.</t>
        </is>
      </c>
      <c r="E51" s="14" t="inlineStr">
        <is>
          <t>Perencanaan, pelaksanaan, dan pengendalian transformasi digital.</t>
        </is>
      </c>
      <c r="F51" s="14" t="inlineStr">
        <is>
          <t>Berdasarkan Peraturan Presiden No. 92 Tahun 2020 tentang Peraturan Pelaksanaan Perpres No. 95 Tahun 2018 tentang SPBE, tiga aktivitas utama dalam tata kelola adalah:
1. **Perencanaan SPBE**: Penyusunan arsitektur, peta jalan, dan rencana induk digital.
2. **Pengorganisasian SPBE**: Penetapan struktur organisasi, pembagian peran, dan tanggung jawab digital.
3. **Pengendalian SPBE**: Pelaksanaan monitoring, evaluasi, dan audit terhadap implementasi sistem digital.</t>
        </is>
      </c>
      <c r="G51" s="15" t="n">
        <v>100</v>
      </c>
      <c r="H51" s="15" t="n">
        <v>13.17</v>
      </c>
      <c r="I51" s="15" t="n">
        <v>4.5</v>
      </c>
      <c r="J51" s="15" t="n">
        <v>89.91</v>
      </c>
      <c r="K51" s="15" t="n">
        <v>89.91</v>
      </c>
      <c r="L51" s="16" t="n">
        <v>0.1009</v>
      </c>
      <c r="M51" s="16" t="n">
        <v>0.1009</v>
      </c>
      <c r="N51" s="15" t="n">
        <v>10.09</v>
      </c>
      <c r="O51" s="17" t="inlineStr">
        <is>
          <t>PASSED</t>
        </is>
      </c>
      <c r="P51" s="16" t="n">
        <v>0.8991</v>
      </c>
    </row>
    <row r="52">
      <c r="A52" s="12" t="n">
        <v>44</v>
      </c>
      <c r="B52" s="13" t="inlineStr">
        <is>
          <t>Analisis</t>
        </is>
      </c>
      <c r="C52" s="13" t="inlineStr">
        <is>
          <t>google/gemma-4-26b-a4b-it:free</t>
        </is>
      </c>
      <c r="D52" s="14" t="inlineStr">
        <is>
          <t>Mengapa konsolidasi pusat data nasional dilakukan banyak negara?</t>
        </is>
      </c>
      <c r="E52" s="14" t="inlineStr">
        <is>
          <t>Untuk efisiensi biaya, standardisasi keamanan, dan integrasi layanan lintas instansi.</t>
        </is>
      </c>
      <c r="F52" s="14" t="inlineStr">
        <is>
          <t>Konsolidasi Pusat Data Nasional (PDN) dilakukan oleh banyak negara karena alasan berikut:
1.  **Efisiensi Anggaran:** Mengurangi pemborosan belanja infrastruktur (server, storage, jaringan) yang terfragmentasi di tiap instansi.
2.- **Efisiensi Operasional:** Mengurangi biaya pemeliharaan, pengelolaan energi, dan kebutuhan SDM spesialis di setiap unit kerja.
3.**Keamanan Siber:** Mempermudah pengawasan, standarisasi protokol keamanan, dan mitigasi serangan siber secara terpusat dan lebih kuat.
4.**Interoperabilitas Data:** Mempermudah pertukaran data antar instansi pemerintah untuk mendukung integrasi layanan publik (Satu Data).
5. **Skalabilitas:** Memudahkan pengembangan teknologi baru (seperti Cloud Computing dan AI) secara seragam di seluruh level pemerintahan.</t>
        </is>
      </c>
      <c r="G52" s="15" t="n">
        <v>84.67</v>
      </c>
      <c r="H52" s="15" t="n">
        <v>18.07</v>
      </c>
      <c r="I52" s="15" t="n">
        <v>4.23</v>
      </c>
      <c r="J52" s="15" t="n">
        <v>84.67</v>
      </c>
      <c r="K52" s="15" t="n">
        <v>84.67</v>
      </c>
      <c r="L52" s="16" t="n">
        <v>0.1533</v>
      </c>
      <c r="M52" s="16" t="n">
        <v>0.1533</v>
      </c>
      <c r="N52" s="15" t="n">
        <v>15.33</v>
      </c>
      <c r="O52" s="18" t="inlineStr">
        <is>
          <t>FAILED</t>
        </is>
      </c>
      <c r="P52" s="16" t="n">
        <v>0.8467</v>
      </c>
    </row>
    <row r="53">
      <c r="A53" s="12" t="n">
        <v>45</v>
      </c>
      <c r="B53" s="13" t="inlineStr">
        <is>
          <t>Faktual</t>
        </is>
      </c>
      <c r="C53" s="13" t="inlineStr">
        <is>
          <t>google/gemma-4-26b-a4b-it:free</t>
        </is>
      </c>
      <c r="D53" s="14" t="inlineStr">
        <is>
          <t>Apa yang dimaksud dengan co-creation dalam pengembangan kebijakan digital?</t>
        </is>
      </c>
      <c r="E53" s="14" t="inlineStr">
        <is>
          <t>Pelibatan aktif berbagai pemangku kepentingan dalam merancang solusi/layanan bersama.</t>
        </is>
      </c>
      <c r="F53" s="14" t="inlineStr">
        <is>
          <t>**Co-creation** dalam pengembangan kebijakan digital adalah proses kolaboratif yang melibatkan berbagai pemangku kepentingan (*stakeholders*)—seperti pemerintah, sektor swasta, akademisi, komunitas, dan masyarakat—sejak tahap perancangan hingga implementasi kebijakan.
**Inti konsepnya:**
1.  **Partisipasi Aktif:** Bukan sekadar sosialisasi satu arah, melainkan pelibatan pemangku kepentingan dalam merumuskan solusi.
2._ **Nilai Bersama:** Menciptakan kebijakan yang lebih relevan, adaptif, dan aplikatif karena menyerap kebutuhan nyata di lapangan.
3. **Mitigasi Risiko:** Mengurangi resistensi masyarakat dan meningkatkan efektivitas implementasi digital karena adanya rasa kepemilikan (*sense of ownership*) dari pengguna.</t>
        </is>
      </c>
      <c r="G53" s="15" t="n">
        <v>100</v>
      </c>
      <c r="H53" s="15" t="n">
        <v>14.05</v>
      </c>
      <c r="I53" s="15" t="n">
        <v>4.3</v>
      </c>
      <c r="J53" s="15" t="n">
        <v>86.02</v>
      </c>
      <c r="K53" s="15" t="n">
        <v>86.02</v>
      </c>
      <c r="L53" s="16" t="n">
        <v>0.1398</v>
      </c>
      <c r="M53" s="16" t="n">
        <v>0.1398</v>
      </c>
      <c r="N53" s="15" t="n">
        <v>13.98</v>
      </c>
      <c r="O53" s="17" t="inlineStr">
        <is>
          <t>PASSED</t>
        </is>
      </c>
      <c r="P53" s="16" t="n">
        <v>0.8602</v>
      </c>
    </row>
    <row r="54">
      <c r="A54" s="12" t="n">
        <v>46</v>
      </c>
      <c r="B54" s="13" t="inlineStr">
        <is>
          <t>Faktual</t>
        </is>
      </c>
      <c r="C54" s="13" t="inlineStr">
        <is>
          <t>google/gemma-4-26b-a4b-it:free</t>
        </is>
      </c>
      <c r="D54" s="14" t="inlineStr">
        <is>
          <t>Jelaskan konsep 'single sign-on' pada portal layanan pemerintah.</t>
        </is>
      </c>
      <c r="E54" s="14" t="inlineStr">
        <is>
          <t>Mekanisme satu kali autentikasi untuk mengakses banyak layanan terhubung.</t>
        </is>
      </c>
      <c r="F54" s="14" t="inlineStr">
        <is>
          <t>**Single Sign-On (SSO)** pada portal layanan pemerintah adalah mekanisme autentikasi terpusat yang memungkinkan pengguna (masyarakat atau ASN) mengakses berbagai aplikasi layanan pemerintah yang berbeda hanya dengan **satu set kredensial** (satu *username* dan satu *password*).
**Poin Utama:**
1.  **Efisiasi:** Pengguna tidak perlu menghafal banyak akun untuk berbagai layanan berbeda.
2. **Interoperabilitas:** Menghubungkan berbagai sistem aplikasi yang berbeda melalui satu identitas digital yang terintegrasi.
3. **Keamanan:** Memudahkan kontrol akses dan pemantauan keamanan identitas digital secara terpusat.
4 **Kaitan Regulasi:** Merupakan implementasi dari Arsitektur SPBE untuk mewujudkan integrasi layanan digital pemerintah guna menghindari fragmentasi data dan akun.</t>
        </is>
      </c>
      <c r="G54" s="15" t="n">
        <v>100</v>
      </c>
      <c r="H54" s="15" t="n">
        <v>19.61</v>
      </c>
      <c r="I54" s="15" t="n">
        <v>4.39</v>
      </c>
      <c r="J54" s="15" t="n">
        <v>87.75</v>
      </c>
      <c r="K54" s="15" t="n">
        <v>87.75</v>
      </c>
      <c r="L54" s="16" t="n">
        <v>0.1225</v>
      </c>
      <c r="M54" s="16" t="n">
        <v>0.1225</v>
      </c>
      <c r="N54" s="15" t="n">
        <v>12.25</v>
      </c>
      <c r="O54" s="17" t="inlineStr">
        <is>
          <t>PASSED</t>
        </is>
      </c>
      <c r="P54" s="16" t="n">
        <v>0.8774999999999999</v>
      </c>
    </row>
    <row r="55">
      <c r="A55" s="12" t="n">
        <v>47</v>
      </c>
      <c r="B55" s="13" t="inlineStr">
        <is>
          <t>Analisis</t>
        </is>
      </c>
      <c r="C55" s="13" t="inlineStr">
        <is>
          <t>google/gemma-4-26b-a4b-it:free</t>
        </is>
      </c>
      <c r="D55" s="14" t="inlineStr">
        <is>
          <t>Mengapa penerapan standar data menjadi kunci keberhasilan Satu Data Indonesia?</t>
        </is>
      </c>
      <c r="E55" s="14" t="inlineStr">
        <is>
          <t>Karena tanpa standar yang seragam, data antar instansi menjadi inkonsisten dan sulit diintegrasikan secara nasional.</t>
        </is>
      </c>
      <c r="F55" s="14" t="inlineStr">
        <is>
          <t>Penerapan standar data menjadi kunci keberhasilan Satu Data Indonesia (SDI) karena alasan berikut:
1.  **Interoperabilitas:** Memungkinkan pertukaran data antar instansi pemerintah yang berbeda sistem melalui format yang seragam.
2.  **Integrasi Data:** Menghindari duplikasi data dan fragmentasi data antar lembaga (mencek silo data).
3.- **Akurasi &amp; Konsistensi:** Menjamin data yang dihasilkan memiliki definisi, struktur, dan format yang sama (tidak ambigu) saat digabungkan.
4.- **Efisiasi Proses:** Mempercepat proses pengolahan, analisis, dan pemanfaatan data untuk pengambilan kebijakan berbasis bukti (*evidence-based policy*).
**Dasar Regulasi:** Peraturan Presiden Nomor 39 Tahun 2019 tentang Satu Data Indonesia.</t>
        </is>
      </c>
      <c r="G55" s="15" t="n">
        <v>84.14</v>
      </c>
      <c r="H55" s="15" t="n">
        <v>16.59</v>
      </c>
      <c r="I55" s="15" t="n">
        <v>4.21</v>
      </c>
      <c r="J55" s="15" t="n">
        <v>84.14</v>
      </c>
      <c r="K55" s="15" t="n">
        <v>84.14</v>
      </c>
      <c r="L55" s="16" t="n">
        <v>0.1586</v>
      </c>
      <c r="M55" s="16" t="n">
        <v>0.1586</v>
      </c>
      <c r="N55" s="15" t="n">
        <v>15.86</v>
      </c>
      <c r="O55" s="18" t="inlineStr">
        <is>
          <t>FAILED</t>
        </is>
      </c>
      <c r="P55" s="16" t="n">
        <v>0.8414</v>
      </c>
    </row>
    <row r="56">
      <c r="A56" s="12" t="n">
        <v>48</v>
      </c>
      <c r="B56" s="13" t="inlineStr">
        <is>
          <t>Evaluatif</t>
        </is>
      </c>
      <c r="C56" s="13" t="inlineStr">
        <is>
          <t>google/gemma-4-26b-a4b-it:free</t>
        </is>
      </c>
      <c r="D56" s="14" t="inlineStr">
        <is>
          <t>Mengapa pendekatan berbasis bukti (evidence-based) penting dalam evaluasi kinerja?</t>
        </is>
      </c>
      <c r="E56" s="14" t="inlineStr">
        <is>
          <t>Agar penilaian objektif, dapat diverifikasi, dan rekomendasi perbaikannya tepat sasaran.</t>
        </is>
      </c>
      <c r="F56" s="14" t="inlineStr">
        <is>
          <t>Pendekatan berbasis bukti (*evidence-based*) penting dalam evaluasi kinerja SPBE karena:
1.  **Objektivitas:** Menghindari penilaian subjektif dan memastikan hasil evaluasi didasarkan pada data riil (misalnya: skor indeks, log sistem, atau hasil audit).
2.- **Akurasi Pengambilan Keputusan:** Memberikan dasar yang kuat bagi pimpinan untuk menentukan kebijakan perbaikan atau alokasi sumber daya secara tepat sasaran.
3.- **Akuntabilitas:** Menyediakan bukti konkret yang dapat dipertanggungjawabkan secara hukum dan administratif atas capaian kinerja instansi.
4.- **Efisi-siasi Sumber Daya:** Memungkinkan identifikasi masalah secara presisi sehingga intervensi dilakukan pada aspek yang benar-benar membutuhkan perbaikan (tidak menebak-nebak).</t>
        </is>
      </c>
      <c r="G56" s="15" t="n">
        <v>100</v>
      </c>
      <c r="H56" s="15" t="n">
        <v>19.11</v>
      </c>
      <c r="I56" s="15" t="n">
        <v>4.26</v>
      </c>
      <c r="J56" s="15" t="n">
        <v>85.22</v>
      </c>
      <c r="K56" s="15" t="n">
        <v>85.22</v>
      </c>
      <c r="L56" s="16" t="n">
        <v>0.1478</v>
      </c>
      <c r="M56" s="16" t="n">
        <v>0.1478</v>
      </c>
      <c r="N56" s="15" t="n">
        <v>14.78</v>
      </c>
      <c r="O56" s="17" t="inlineStr">
        <is>
          <t>PASSED</t>
        </is>
      </c>
      <c r="P56" s="16" t="n">
        <v>0.8522</v>
      </c>
    </row>
    <row r="57">
      <c r="A57" s="12" t="n">
        <v>49</v>
      </c>
      <c r="B57" s="13" t="inlineStr">
        <is>
          <t>Faktual</t>
        </is>
      </c>
      <c r="C57" s="13" t="inlineStr">
        <is>
          <t>google/gemma-4-26b-a4b-it:free</t>
        </is>
      </c>
      <c r="D57" s="14" t="inlineStr">
        <is>
          <t>Apa yang dimaksud dengan budaya tertib arsip digital?</t>
        </is>
      </c>
      <c r="E57" s="14" t="inlineStr">
        <is>
          <t>Kebiasaan mengelola arsip secara digital dan terstruktur sebagai basis pemanfaatan data.</t>
        </is>
      </c>
      <c r="F57" s="14" t="inlineStr">
        <is>
          <t>**Budaya tertib arsip digital** adalah perilaku dan kebiasaan sistematis dalam mengelola arsip elektronik yang mencakup aspek:
1.  **Penciptaan:** Pembuatan dokumen digital secara terstruktur.
2.  **Penggunaan &amp; Pemeliharaan:** Pengelolaan akses dan perlindungan data agar tetap autentik dan andal.
3.  **Penyimpanan:** Penataan dalam sistem penyimpanan/repositori yang terorganisir (tidak berserakan).
4.  **Penyusutan:** Penghapusan atau pemindahan arsip sesuai jadwal retensi yang berlaku.
**Intinya:** Upaya memastikan seluruh informasi digital instansi dikelola secara disiplin, aman, dan dapat ditemukan kembali dengan cepat untuk mendukung tata kelola pemerintahan yang akuntabel.</t>
        </is>
      </c>
      <c r="G57" s="15" t="n">
        <v>100</v>
      </c>
      <c r="H57" s="15" t="n">
        <v>5.94</v>
      </c>
      <c r="I57" s="15" t="n">
        <v>4.42</v>
      </c>
      <c r="J57" s="15" t="n">
        <v>88.39</v>
      </c>
      <c r="K57" s="15" t="n">
        <v>88.39</v>
      </c>
      <c r="L57" s="16" t="n">
        <v>0.1161</v>
      </c>
      <c r="M57" s="16" t="n">
        <v>0.1161</v>
      </c>
      <c r="N57" s="15" t="n">
        <v>11.61</v>
      </c>
      <c r="O57" s="17" t="inlineStr">
        <is>
          <t>PASSED</t>
        </is>
      </c>
      <c r="P57" s="16" t="n">
        <v>0.8839</v>
      </c>
    </row>
    <row r="58">
      <c r="A58" s="12" t="n">
        <v>50</v>
      </c>
      <c r="B58" s="13" t="inlineStr">
        <is>
          <t>Ekstraksi</t>
        </is>
      </c>
      <c r="C58" s="13" t="inlineStr">
        <is>
          <t>google/gemma-4-26b-a4b-it:free</t>
        </is>
      </c>
      <c r="D58" s="14" t="inlineStr">
        <is>
          <t>Sebutkan tiga unsur yang perlu diselaraskan dalam tata kelola digital pemerintah.</t>
        </is>
      </c>
      <c r="E58" s="14" t="inlineStr">
        <is>
          <t>Kebijakan, proses bisnis, dan teknologi informasi.</t>
        </is>
      </c>
      <c r="F58" s="14" t="inlineStr">
        <is>
          <t>Tiga unsur yang perlu diselaraskan dalam tata kelola digital pemerintah adalah:
1. **Kebijakan** (Regulasi dan aturan main).
2. **Proses Bisnis** (Prosedur dan tata kerja).
3. **Teknologi Informasi** (Infrastruktur, aplikasi, dan data).</t>
        </is>
      </c>
      <c r="G58" s="15" t="n">
        <v>100</v>
      </c>
      <c r="H58" s="15" t="n">
        <v>4.76</v>
      </c>
      <c r="I58" s="15" t="n">
        <v>4.52</v>
      </c>
      <c r="J58" s="15" t="n">
        <v>90.31999999999999</v>
      </c>
      <c r="K58" s="15" t="n">
        <v>90.31999999999999</v>
      </c>
      <c r="L58" s="16" t="n">
        <v>0.0968</v>
      </c>
      <c r="M58" s="16" t="n">
        <v>0.0968</v>
      </c>
      <c r="N58" s="15" t="n">
        <v>9.68</v>
      </c>
      <c r="O58" s="17" t="inlineStr">
        <is>
          <t>PASSED</t>
        </is>
      </c>
      <c r="P58" s="16" t="n">
        <v>0.9032</v>
      </c>
    </row>
    <row r="59">
      <c r="A59" s="12" t="n">
        <v>51</v>
      </c>
      <c r="B59" s="13" t="inlineStr">
        <is>
          <t>Jebakan (out-of-scope/halusinasi)</t>
        </is>
      </c>
      <c r="C59" s="13" t="inlineStr">
        <is>
          <t>google/gemma-4-26b-a4b-it:free</t>
        </is>
      </c>
      <c r="D59" s="14" t="inlineStr">
        <is>
          <t>Berapa tepatnya nilai Indeks Pemdi nasional resmi tahun 2027?</t>
        </is>
      </c>
      <c r="E59" s="14" t="inlineStr">
        <is>
          <t>Model seharusnya menyatakan data belum tersedia/di luar jangkauan dan tidak mengarang angka.</t>
        </is>
      </c>
      <c r="F59" s="14" t="inlineStr">
        <is>
          <t>Tidak ada nilai Indeks SPBE nasional resmi untuk tahun 2027 karena tahun tersebut belum dilalui.
Target nilai Indeks SPBE nasional ditetapkan dalam **Arsitektur SPBE Nasional** dan **Rencana Kerja Pemerintah (RKP)**, namun angka spesifik untuk tahun 2027 belum ditetapkan secara publik dalam regulasi saat ini. Penilaian dilakukan secara berkala oleh KemenPAN-RB berdasarkan evaluasi tahunan.</t>
        </is>
      </c>
      <c r="G59" s="15" t="n">
        <v>84.89</v>
      </c>
      <c r="H59" s="15" t="n">
        <v>18.01</v>
      </c>
      <c r="I59" s="15" t="n">
        <v>4.24</v>
      </c>
      <c r="J59" s="15" t="n">
        <v>84.89</v>
      </c>
      <c r="K59" s="15" t="n">
        <v>84.89</v>
      </c>
      <c r="L59" s="16" t="n">
        <v>0.1511</v>
      </c>
      <c r="M59" s="16" t="n">
        <v>0.1511</v>
      </c>
      <c r="N59" s="15" t="n">
        <v>15.11</v>
      </c>
      <c r="O59" s="18" t="inlineStr">
        <is>
          <t>FAILED</t>
        </is>
      </c>
      <c r="P59" s="16" t="n">
        <v>0.8489</v>
      </c>
    </row>
    <row r="60">
      <c r="A60" s="12" t="n">
        <v>52</v>
      </c>
      <c r="B60" s="13" t="inlineStr">
        <is>
          <t>Jebakan (faithfulness/halusinasi)</t>
        </is>
      </c>
      <c r="C60" s="13" t="inlineStr">
        <is>
          <t>google/gemma-4-26b-a4b-it:free</t>
        </is>
      </c>
      <c r="D60" s="14" t="inlineStr">
        <is>
          <t>Sebutkan bobot persis ke-20 indikator Indeks Pemdi tanpa melihat dokumen apa pun.</t>
        </is>
      </c>
      <c r="E60" s="14" t="inlineStr">
        <is>
          <t>Tanpa dokumen, model seharusnya menyatakan tidak dapat memastikan bobot resmi dan menyarankan merujuk dokumen.</t>
        </is>
      </c>
      <c r="F60" s="14" t="inlineStr">
        <is>
          <t>Mohon maaf, terdapat kekeliruan dalam istilah pertanyaan Anda. Tidak ada istilah **"Indeks Pemdi"** dalam regulasi SPBE. Indikator yang baku digunakan dalam evaluasi SPBE adalah **Indeks SPBE**.
Berdas menurt **Peraturan Menteri PANRB No. 5 Tahun 2020**, bobot penilaian Indeks SPBE terbagi ke dalam 4 domain utama sebagai berikut:
1.  **Domain Kebijakan Internal (Bobot 15%)**
2.get**Domain Tata Kelola (Bobot 25%)**
3.  **Domain Manajemen (Bobot 25%)**
4.  **Domain Layanan (Bobot 35%)**
Jika yang Anda maksud adalah rincian bobot dari tiap-tiap sub-indikator secara spesifik (total 20+ indikator), hal tersebut bersifat teknis dan dinamis tergantung pada instrumen evaluasi tahun berjalan yang dikeluarkan oleh Kemenpan-RB.</t>
        </is>
      </c>
      <c r="G60" s="15" t="n">
        <v>83.15000000000001</v>
      </c>
      <c r="H60" s="15" t="n">
        <v>27.56</v>
      </c>
      <c r="I60" s="15" t="n">
        <v>4.16</v>
      </c>
      <c r="J60" s="15" t="n">
        <v>83.15000000000001</v>
      </c>
      <c r="K60" s="15" t="n">
        <v>83.15000000000001</v>
      </c>
      <c r="L60" s="16" t="n">
        <v>0.1685</v>
      </c>
      <c r="M60" s="16" t="n">
        <v>0.1685</v>
      </c>
      <c r="N60" s="15" t="n">
        <v>16.85</v>
      </c>
      <c r="O60" s="18" t="inlineStr">
        <is>
          <t>FAILED</t>
        </is>
      </c>
      <c r="P60" s="16" t="n">
        <v>0.8315</v>
      </c>
    </row>
    <row r="61">
      <c r="A61" s="12" t="n">
        <v>53</v>
      </c>
      <c r="B61" s="13" t="inlineStr">
        <is>
          <t>Jebakan (out-of-scope)</t>
        </is>
      </c>
      <c r="C61" s="13" t="inlineStr">
        <is>
          <t>google/gemma-4-26b-a4b-it:free</t>
        </is>
      </c>
      <c r="D61" s="14" t="inlineStr">
        <is>
          <t>Berapa skor Indeks Pemdi Provinsi Jawa Timur tahun 2026?</t>
        </is>
      </c>
      <c r="E61" s="14" t="inlineStr">
        <is>
          <t>Belum ada/di luar konteks; model seharusnya tidak mengarang dan menyatakan ketidaktersediaan data.</t>
        </is>
      </c>
      <c r="F61" s="14" t="inlineStr">
        <is>
          <t>Saya tidak memiliki informasi mengenai skor Indeks SPBE Provinsi Jawa Timur tahun 2{026}, karena data tersebut belum ada (saat ini masih dalam rentang waktu sebelum tahun tersebut) dan hasil penilaian Indeks SPBE biasanya dirilis secara tahunan oleh KemenPAN-RB berdasarkan evaluasi tahun berjalan.</t>
        </is>
      </c>
      <c r="G61" s="15" t="n">
        <v>100</v>
      </c>
      <c r="H61" s="15" t="n">
        <v>8.17</v>
      </c>
      <c r="I61" s="15" t="n">
        <v>4.57</v>
      </c>
      <c r="J61" s="15" t="n">
        <v>91.31</v>
      </c>
      <c r="K61" s="15" t="n">
        <v>91.31</v>
      </c>
      <c r="L61" s="16" t="n">
        <v>0.08690000000000001</v>
      </c>
      <c r="M61" s="16" t="n">
        <v>0.08690000000000001</v>
      </c>
      <c r="N61" s="15" t="n">
        <v>8.69</v>
      </c>
      <c r="O61" s="17" t="inlineStr">
        <is>
          <t>PASSED</t>
        </is>
      </c>
      <c r="P61" s="16" t="n">
        <v>0.9131</v>
      </c>
    </row>
    <row r="62">
      <c r="A62" s="12" t="n">
        <v>54</v>
      </c>
      <c r="B62" s="13" t="inlineStr">
        <is>
          <t>Jebakan (out-of-scope)</t>
        </is>
      </c>
      <c r="C62" s="13" t="inlineStr">
        <is>
          <t>google/gemma-4-26b-a4b-it:free</t>
        </is>
      </c>
      <c r="D62" s="14" t="inlineStr">
        <is>
          <t>Tanggal berapa persisnya Perpres Pemerintah Digital akan diundangkan?</t>
        </is>
      </c>
      <c r="E62" s="14" t="inlineStr">
        <is>
          <t>Masih berupa draf; model seharusnya menyatakan tanggal pasti belum diketahui.</t>
        </is>
      </c>
      <c r="F62" s="14" t="inlineStr">
        <is>
          <t>Hingga saat ini, **belum ada tanggal pasti** mengenai pengundangan Perpres tentang Pemerintah Digital.
Perpres tersebut saat ini masih dalam tahap penyusunan dan pembahasan di tingkat kementerian/lembaga terkait untuk menggantikan atau memperkuat kerangka kerja SPBE yang ada. Anda perlu memantau kanal resmi Jaringan Dokumentasi dan Informasi Hukum (JDIH) Nasional atau Sekretariat Negara untuk pengumuman resminya.</t>
        </is>
      </c>
      <c r="G62" s="15" t="n">
        <v>84.16</v>
      </c>
      <c r="H62" s="15" t="n">
        <v>3.48</v>
      </c>
      <c r="I62" s="15" t="n">
        <v>4.21</v>
      </c>
      <c r="J62" s="15" t="n">
        <v>84.16</v>
      </c>
      <c r="K62" s="15" t="n">
        <v>84.16</v>
      </c>
      <c r="L62" s="16" t="n">
        <v>0.1584</v>
      </c>
      <c r="M62" s="16" t="n">
        <v>0.1584</v>
      </c>
      <c r="N62" s="15" t="n">
        <v>15.84</v>
      </c>
      <c r="O62" s="18" t="inlineStr">
        <is>
          <t>FAILED</t>
        </is>
      </c>
      <c r="P62" s="16" t="n">
        <v>0.8416</v>
      </c>
    </row>
    <row r="63">
      <c r="A63" s="12" t="n">
        <v>55</v>
      </c>
      <c r="B63" s="13" t="inlineStr">
        <is>
          <t>Jebakan (halusinasi)</t>
        </is>
      </c>
      <c r="C63" s="13" t="inlineStr">
        <is>
          <t>google/gemma-4-26b-a4b-it:free</t>
        </is>
      </c>
      <c r="D63" s="14" t="inlineStr">
        <is>
          <t>Siapa nama lengkap seluruh anggota Tim Asesor Eksternal Pemdi nasional?</t>
        </is>
      </c>
      <c r="E63" s="14" t="inlineStr">
        <is>
          <t>Tidak diketahui umum; model seharusnya menolak mengarang nama.</t>
        </is>
      </c>
      <c r="F63" s="14" t="inlineStr">
        <is>
          <t>Mohon maaf, informasi mengenai nama lengkap seluruh anggota Tim Asesor Eksternal Penilaian Mandiri (Pemdi) nasional bersifat **internal dan tidak dipublikasikan secara terbuka** untuk umum dalam dokumen regulasi maupun laman resmi pemerintah.
Daftar nama tersebut biasanya dikelola secara terbatas oleh **Kementerian Pendayagunaan Aparatur Negara dan Reformasi Birokrasi (PANRB)** sebagai penyelenggara evaluasi SPBE.</t>
        </is>
      </c>
      <c r="G63" s="15" t="n">
        <v>84.59999999999999</v>
      </c>
      <c r="H63" s="15" t="n">
        <v>9.050000000000001</v>
      </c>
      <c r="I63" s="15" t="n">
        <v>4.23</v>
      </c>
      <c r="J63" s="15" t="n">
        <v>84.59999999999999</v>
      </c>
      <c r="K63" s="15" t="n">
        <v>84.59999999999999</v>
      </c>
      <c r="L63" s="16" t="n">
        <v>0.154</v>
      </c>
      <c r="M63" s="16" t="n">
        <v>0.154</v>
      </c>
      <c r="N63" s="15" t="n">
        <v>15.4</v>
      </c>
      <c r="O63" s="18" t="inlineStr">
        <is>
          <t>FAILED</t>
        </is>
      </c>
      <c r="P63" s="16" t="n">
        <v>0.846</v>
      </c>
    </row>
    <row r="64">
      <c r="A64" s="12" t="n">
        <v>56</v>
      </c>
      <c r="B64" s="13" t="inlineStr">
        <is>
          <t>Jebakan (out-of-scope)</t>
        </is>
      </c>
      <c r="C64" s="13" t="inlineStr">
        <is>
          <t>google/gemma-4-26b-a4b-it:free</t>
        </is>
      </c>
      <c r="D64" s="14" t="inlineStr">
        <is>
          <t>Berapa anggaran TIK pemerintah pusat tahun 2029 secara pasti?</t>
        </is>
      </c>
      <c r="E64" s="14" t="inlineStr">
        <is>
          <t>Belum tersedia; model seharusnya menyatakan ketidakpastian dan tidak mengarang.</t>
        </is>
      </c>
      <c r="F64" s="14" t="inlineStr">
        <is>
          <t>Tidak ada informasi mengenai angka pasti anggaran TIK pemerintah pusat tahun 2029. 
Anggaran negara (APBN) disusun setiap tahun berdasarkan asumsi ekonomi dan prioritas pembangunan dalam jangka menengah (RPJMN), sehingga angka pasti untuk tahun 2029 belum tersedia secara legal maupun teknis saat ini.</t>
        </is>
      </c>
      <c r="G64" s="15" t="n">
        <v>100</v>
      </c>
      <c r="H64" s="15" t="n">
        <v>6.9</v>
      </c>
      <c r="I64" s="15" t="n">
        <v>4.35</v>
      </c>
      <c r="J64" s="15" t="n">
        <v>87.09999999999999</v>
      </c>
      <c r="K64" s="15" t="n">
        <v>87.09999999999999</v>
      </c>
      <c r="L64" s="16" t="n">
        <v>0.129</v>
      </c>
      <c r="M64" s="16" t="n">
        <v>0.129</v>
      </c>
      <c r="N64" s="15" t="n">
        <v>12.9</v>
      </c>
      <c r="O64" s="17" t="inlineStr">
        <is>
          <t>PASSED</t>
        </is>
      </c>
      <c r="P64" s="16" t="n">
        <v>0.871</v>
      </c>
    </row>
    <row r="65">
      <c r="A65" s="12" t="n">
        <v>57</v>
      </c>
      <c r="B65" s="13" t="inlineStr">
        <is>
          <t>Jebakan (out-of-scope)</t>
        </is>
      </c>
      <c r="C65" s="13" t="inlineStr">
        <is>
          <t>google/gemma-4-26b-a4b-it:free</t>
        </is>
      </c>
      <c r="D65" s="14" t="inlineStr">
        <is>
          <t>Apa hasil akhir evaluasi visitasi Kementerian X tahun ini?</t>
        </is>
      </c>
      <c r="E65" s="14" t="inlineStr">
        <is>
          <t>Tidak diketahui tanpa data; model seharusnya menyatakan tidak dapat menjawab.</t>
        </is>
      </c>
      <c r="F65" s="14" t="inlineStr">
        <is>
          <t>Sebagai asisten AI, saya tidak memiliki akses ke data internal atau dokumen hasil evaluasi spesifik milik Kementerian X yang bersifat rahasia atau belum dipublikasikan secara terbuka.
Untuk mengetahui hasil akhir evaluasi visitasi tersebut, Anda dapat melakukan langkah berikut:
1. **Cek Portal Internal:** Periksa dashboard atau sistem informasi manajemen kinerja/SPBE milik Kementerian X.
2. **Hubungi Unit Kerja Terkait:** Hubungi Biro Organisasi, Biro TI, atau unit yang bertanggungantanggung atas implementasi SPBE di kementerian tersebut.
3.- **Referensi Regulasi:** Hasil evaluasi biasanya disusun berdasarkan instruman evaluasi SPBE yang mengacu pada **Peraturan Menteri PANRB Nomor 59 Tahun 2-022** tentang Evaluasi SPBE.</t>
        </is>
      </c>
      <c r="G65" s="15" t="n">
        <v>82.48</v>
      </c>
      <c r="H65" s="15" t="n">
        <v>17.28</v>
      </c>
      <c r="I65" s="15" t="n">
        <v>4.12</v>
      </c>
      <c r="J65" s="15" t="n">
        <v>82.48</v>
      </c>
      <c r="K65" s="15" t="n">
        <v>82.48</v>
      </c>
      <c r="L65" s="16" t="n">
        <v>0.1752</v>
      </c>
      <c r="M65" s="16" t="n">
        <v>0.1752</v>
      </c>
      <c r="N65" s="15" t="n">
        <v>17.52</v>
      </c>
      <c r="O65" s="18" t="inlineStr">
        <is>
          <t>FAILED</t>
        </is>
      </c>
      <c r="P65" s="16" t="n">
        <v>0.8248</v>
      </c>
    </row>
    <row r="66">
      <c r="A66" s="12" t="n">
        <v>58</v>
      </c>
      <c r="B66" s="13" t="inlineStr">
        <is>
          <t>Jebakan (out-of-scope)</t>
        </is>
      </c>
      <c r="C66" s="13" t="inlineStr">
        <is>
          <t>google/gemma-4-26b-a4b-it:free</t>
        </is>
      </c>
      <c r="D66" s="14" t="inlineStr">
        <is>
          <t>Berapa jumlah persis simpul jaringan yang akan terhubung pada 2030?</t>
        </is>
      </c>
      <c r="E66" s="14" t="inlineStr">
        <is>
          <t>Di luar horizon dan tanpa data; model seharusnya tidak mengarang.</t>
        </is>
      </c>
      <c r="F66" s="14" t="inlineStr">
        <is>
          <t>Berdasarkan **Arsitektur SPBE Nasional**, target jumlah simpul jaringan yang akan terhubung pada tahun 2030 adalah **sebanyak-banyaknya 1 (satu) simpul jaringan** melalui integrasi infrastruktur berbagi pakai.
Target ini bertujuan untuk menghilangkan ego sektoral dan fragmentasi infrastruktur dengan mengonsolidasikan seluruh simpul jaringan instansi pemerintah ke dalam satu jaringan terpadu.</t>
        </is>
      </c>
      <c r="G66" s="15" t="n">
        <v>81.08</v>
      </c>
      <c r="H66" s="15" t="n">
        <v>9.9</v>
      </c>
      <c r="I66" s="15" t="n">
        <v>4.05</v>
      </c>
      <c r="J66" s="15" t="n">
        <v>81.08</v>
      </c>
      <c r="K66" s="15" t="n">
        <v>81.08</v>
      </c>
      <c r="L66" s="16" t="n">
        <v>0.1892</v>
      </c>
      <c r="M66" s="16" t="n">
        <v>0.1892</v>
      </c>
      <c r="N66" s="15" t="n">
        <v>18.92</v>
      </c>
      <c r="O66" s="18" t="inlineStr">
        <is>
          <t>FAILED</t>
        </is>
      </c>
      <c r="P66" s="16" t="n">
        <v>0.8108</v>
      </c>
    </row>
    <row r="67">
      <c r="A67" s="12" t="n">
        <v>59</v>
      </c>
      <c r="B67" s="13" t="inlineStr">
        <is>
          <t>Jebakan (faithfulness)</t>
        </is>
      </c>
      <c r="C67" s="13" t="inlineStr">
        <is>
          <t>google/gemma-4-26b-a4b-it:free</t>
        </is>
      </c>
      <c r="D67" s="14" t="inlineStr">
        <is>
          <t>Sebutkan isi Pasal 150 draf Perpres Pemerintah Digital.</t>
        </is>
      </c>
      <c r="E67" s="14" t="inlineStr">
        <is>
          <t>Pasal tersebut tidak diketahui ada; model seharusnya tidak mengarang isi pasal.</t>
        </is>
      </c>
      <c r="F67" s="14" t="inlineStr">
        <is>
          <t>Berdasarkan draf Peraturan Presiden tentang Transformasi Digital (Pemerintah Digital), **Pasal 150** mengatur tentang **Penyelenggaraan Sistem Pemerintahan Berbasis Elektronik (SPBE) yang Terintegrasi**.
Inti dari pasal tersebut adalah:
1. **Kewajiban Integrasi:** Instansi Pusat dan Pemerintah Daerah wajib mengintegrasikan aplikasi, data, dan layanan digital untuk menghindari duplikasi dan silo data.
2. **Pemanfaan Infrastruktur Bersama:** Kewajiban menggunakan infrastruktur berbagi pakai (Pusat Data Nasional dan Jaringan Intra Pemerintah).
3. **Interoperabilitas:** Penyelenggaraan SPBE harus mampu saling berkomunikasi antar sistem melalui standar pertukaran data yang ditetapkan oleh pemerintah pusat.</t>
        </is>
      </c>
      <c r="G67" s="15" t="n">
        <v>81.56999999999999</v>
      </c>
      <c r="H67" s="15" t="n">
        <v>15.99</v>
      </c>
      <c r="I67" s="15" t="n">
        <v>4.08</v>
      </c>
      <c r="J67" s="15" t="n">
        <v>81.56999999999999</v>
      </c>
      <c r="K67" s="15" t="n">
        <v>81.56999999999999</v>
      </c>
      <c r="L67" s="16" t="n">
        <v>0.1843</v>
      </c>
      <c r="M67" s="16" t="n">
        <v>0.1843</v>
      </c>
      <c r="N67" s="15" t="n">
        <v>18.43</v>
      </c>
      <c r="O67" s="18" t="inlineStr">
        <is>
          <t>FAILED</t>
        </is>
      </c>
      <c r="P67" s="16" t="n">
        <v>0.8157</v>
      </c>
    </row>
    <row r="68">
      <c r="A68" s="12" t="n">
        <v>60</v>
      </c>
      <c r="B68" s="13" t="inlineStr">
        <is>
          <t>Jebakan (halusinasi)</t>
        </is>
      </c>
      <c r="C68" s="13" t="inlineStr">
        <is>
          <t>google/gemma-4-26b-a4b-it:free</t>
        </is>
      </c>
      <c r="D68" s="14" t="inlineStr">
        <is>
          <t>Berapa persen target kepuasan pengguna nasional yang dijamin tercapai 2028?</t>
        </is>
      </c>
      <c r="E68" s="14" t="inlineStr">
        <is>
          <t>Tidak ada jaminan angka pasti; model seharusnya menyatakan tidak dapat memastikan.</t>
        </is>
      </c>
      <c r="F68" s="14" t="inlineStr">
        <is>
          <t>Target kepuasan pengguna layanan SPBE nasional yang dijamin tercapai pada tahun 2028 adalah minimal **80%**.</t>
        </is>
      </c>
      <c r="G68" s="15" t="n">
        <v>84.44</v>
      </c>
      <c r="H68" s="15" t="n">
        <v>2.69</v>
      </c>
      <c r="I68" s="15" t="n">
        <v>4.22</v>
      </c>
      <c r="J68" s="15" t="n">
        <v>84.44</v>
      </c>
      <c r="K68" s="15" t="n">
        <v>84.44</v>
      </c>
      <c r="L68" s="16" t="n">
        <v>0.1556</v>
      </c>
      <c r="M68" s="16" t="n">
        <v>0.1556</v>
      </c>
      <c r="N68" s="15" t="n">
        <v>15.56</v>
      </c>
      <c r="O68" s="18" t="inlineStr">
        <is>
          <t>FAILED</t>
        </is>
      </c>
      <c r="P68" s="16" t="n">
        <v>0.8444</v>
      </c>
    </row>
    <row r="69">
      <c r="A69" s="12" t="n">
        <v>61</v>
      </c>
      <c r="B69" s="13" t="inlineStr">
        <is>
          <t>Faktual</t>
        </is>
      </c>
      <c r="C69" s="13" t="inlineStr">
        <is>
          <t>google/gemma-4-26b-a4b-it:free</t>
        </is>
      </c>
      <c r="D69" s="14" t="inlineStr">
        <is>
          <t>Jelaskan secara umum konsep 'manajemen pengetahuan'.</t>
        </is>
      </c>
      <c r="E69" s="14" t="inlineStr">
        <is>
          <t>Pengelolaan pengetahuan organisasi agar dapat dibagi dan digunakan ulang.</t>
        </is>
      </c>
      <c r="F69" s="14" t="inlineStr">
        <is>
          <t>Dalam konteks SPBE, **Manajemen Pengetahuan (*Knowledge Management*)** adalah proses sistematis untuk mengidentifikasi, menangkap, menyimpan, mendistribusikan, dan menggunakan aset pengetahuan organisasi guna meningkatkan efisi-siensi kerja dan pengambilan keputusan.
**Komponen Utama:**
1.  **Pengetahuan Eksplisit:** Data dan informasi yang telah didokumentasikan (dokumen, regulasi, SOP, database).
2.- **Pengetahuan Implisit (*Tacit Knowledge*):** Pengalaman, keahlian, dan intuisi pegawai yang belum tertulis.
**Tujuan dalam SPBE:**
*   Mencegah hilangnya pengetahuan saat terjadi mutasi atau pensiun pegawai (*knowledge loss*).
*   Mempercepat proses belajar dan inovasi antar instansi pemerintah.
*   Menjamin keberlanjutan tata kelola pemerintahan berbasis digital melalui dokumentasi yang terstruktur.</t>
        </is>
      </c>
      <c r="G69" s="15" t="n">
        <v>100</v>
      </c>
      <c r="H69" s="15" t="n">
        <v>17.42</v>
      </c>
      <c r="I69" s="15" t="n">
        <v>4.29</v>
      </c>
      <c r="J69" s="15" t="n">
        <v>85.7</v>
      </c>
      <c r="K69" s="15" t="n">
        <v>85.7</v>
      </c>
      <c r="L69" s="16" t="n">
        <v>0.143</v>
      </c>
      <c r="M69" s="16" t="n">
        <v>0.143</v>
      </c>
      <c r="N69" s="15" t="n">
        <v>14.3</v>
      </c>
      <c r="O69" s="17" t="inlineStr">
        <is>
          <t>PASSED</t>
        </is>
      </c>
      <c r="P69" s="16" t="n">
        <v>0.857</v>
      </c>
    </row>
    <row r="70">
      <c r="A70" s="12" t="n">
        <v>62</v>
      </c>
      <c r="B70" s="13" t="inlineStr">
        <is>
          <t>Faktual</t>
        </is>
      </c>
      <c r="C70" s="13" t="inlineStr">
        <is>
          <t>google/gemma-4-26b-a4b-it:free</t>
        </is>
      </c>
      <c r="D70" s="14" t="inlineStr">
        <is>
          <t>Jelaskan secara umum konsep 'manajemen keberlangsungan layanan'.</t>
        </is>
      </c>
      <c r="E70" s="14" t="inlineStr">
        <is>
          <t>Upaya menjaga layanan tetap berjalan saat terjadi gangguan.</t>
        </is>
      </c>
      <c r="F70" s="14" t="inlineStr">
        <is>
          <t>**Manajemen Keberlangsungan Layanan** adalah proses terencana untuk memastikan layanan SPBE tetap berjalan atau dapat segera pulih kembali setelah terjadinya gangguan, bencana, atau insiden teknis.
**Inti Konsep:**
1.  **Tujuan:** Menjamin ketersediaan layanan (availability) dan meminimalkan dampak kerugian akibat gangguan.
2.  **Komponen Utama:** 
    *   **Mitigasi Risiko:** Identifikasi potensi gangguan.
    *   **Rencana Pemulihan (Disaster Recovery Plan):** Prosedur teknis pemulihan sistem/data.
    *   **Kontinuitas Bisnis:** Prosedur operasional agar fungsi layanan tetap berjalan meski dalam kondisi terbatas.
3.  **Dasar Regulasi:** Bagian integral dari tata kelola keamanan informasi dan manajemen layanan dalam kerangka kerja SPBE untuk menjaga kepercayaan publik terhadap layanan pemerintah digital.</t>
        </is>
      </c>
      <c r="G70" s="15" t="n">
        <v>100</v>
      </c>
      <c r="H70" s="15" t="n">
        <v>16.05</v>
      </c>
      <c r="I70" s="15" t="n">
        <v>4.3</v>
      </c>
      <c r="J70" s="15" t="n">
        <v>86.03</v>
      </c>
      <c r="K70" s="15" t="n">
        <v>86.03</v>
      </c>
      <c r="L70" s="16" t="n">
        <v>0.1397</v>
      </c>
      <c r="M70" s="16" t="n">
        <v>0.1397</v>
      </c>
      <c r="N70" s="15" t="n">
        <v>13.97</v>
      </c>
      <c r="O70" s="17" t="inlineStr">
        <is>
          <t>PASSED</t>
        </is>
      </c>
      <c r="P70" s="16" t="n">
        <v>0.8603</v>
      </c>
    </row>
    <row r="71">
      <c r="A71" s="12" t="n">
        <v>63</v>
      </c>
      <c r="B71" s="13" t="inlineStr">
        <is>
          <t>Analisis</t>
        </is>
      </c>
      <c r="C71" s="13" t="inlineStr">
        <is>
          <t>google/gemma-4-26b-a4b-it:free</t>
        </is>
      </c>
      <c r="D71" s="14" t="inlineStr">
        <is>
          <t>Bagaimana hubungan antara manajemen relasi pengguna dan kepuasan pengguna layanan digital pemerintah?</t>
        </is>
      </c>
      <c r="E71" s="14" t="inlineStr">
        <is>
          <t>Manajemen relasi pengguna mengelola interaksi dan masukan pengguna, sehingga mendukung peningkatan kepuasan layanan digital.</t>
        </is>
      </c>
      <c r="F71" s="14" t="inlineStr">
        <is>
          <t>Hubungan antara manajemen relasi pengguna dan kepuasan pengguna layanan digital pemerintah adalah **hubungan sebab-akibat yang bersifat linear dan signifikan.**
Berikut adalah poin intinya:
1.  **Fungsi Manajemen Relasi:** Manajemen relasi pengguna (melalui saluran pengaduan, bantuan/helpdesk, dan kanal komunikasi) berfungsi sebagai mekanisme untuk mendengar, merespons, dan menyelesaikan kendala teknis maupun administratif pengguna.
2.- **Kualitas Layanan:** Manajemen relasi yang efektif memastikan adanya *feedback loop* (umpan balik). Jika keluhan direspons dengan cepat dan akurat, persepsi pengguna terhadap kualitas layanan akan meningkat.
3- **Variabel Penentu Kepuasan:** Kepuasan pengguna dalam ekosistem SPBE tidak hanya ditentukan oleh kecanggihan fitur aplikasi, tetapi oleh **keandalan dukungan (support)** saat pengguna mengalami hambatan.
4- **Kesimpulan:** Manajemen relasi pengguna yang baik menurunkan tingkat frustrasi pengguna, sehingga secara langsung meningkatkan indeks kepuasan pengguna terhadap layanan digital pemerintah.</t>
        </is>
      </c>
      <c r="G71" s="15" t="n">
        <v>100</v>
      </c>
      <c r="H71" s="15" t="n">
        <v>34.68</v>
      </c>
      <c r="I71" s="15" t="n">
        <v>4.42</v>
      </c>
      <c r="J71" s="15" t="n">
        <v>88.31999999999999</v>
      </c>
      <c r="K71" s="15" t="n">
        <v>88.31999999999999</v>
      </c>
      <c r="L71" s="16" t="n">
        <v>0.1168</v>
      </c>
      <c r="M71" s="16" t="n">
        <v>0.1168</v>
      </c>
      <c r="N71" s="15" t="n">
        <v>11.68</v>
      </c>
      <c r="O71" s="17" t="inlineStr">
        <is>
          <t>PASSED</t>
        </is>
      </c>
      <c r="P71" s="16" t="n">
        <v>0.8832</v>
      </c>
    </row>
    <row r="72">
      <c r="A72" s="12" t="n">
        <v>64</v>
      </c>
      <c r="B72" s="13" t="inlineStr">
        <is>
          <t>Faktual</t>
        </is>
      </c>
      <c r="C72" s="13" t="inlineStr">
        <is>
          <t>google/gemma-4-26b-a4b-it:free</t>
        </is>
      </c>
      <c r="D72" s="14" t="inlineStr">
        <is>
          <t>Jelaskan secara umum konsep 'audit eksternal keamanan'.</t>
        </is>
      </c>
      <c r="E72" s="14" t="inlineStr">
        <is>
          <t>Audit oleh pihak independen di luar instansi untuk menilai keamanan.</t>
        </is>
      </c>
      <c r="F72" s="14" t="inlineStr">
        <is>
          <t>**Audit Eksternal Keamanan** dalam konteks SPBE adalah proses evaluasi independen terhadap sistem informasi, infrastruktur, dan tata kelola keamanan informasi suatu instansi pemerintah.
**Inti Konsep:**
1.  **Pelaksana:** Dilakukan oleh pihak ketiga yang independen (bukan auditor internal instansi) untuk menjamin objektivitas.
2.- **Tujuan:** Memverifikasi apakah kontrol keamanan telah diterapkan sesuai standar (seperti ISO/IEC 27001 atau regulasi BSSN) dan mengidentifikasi celah kerentanan (*vulnerability*).
3.- **Ruang Lingkup:** Meliputi pengujian teknis (seperti *penetration testing*) dan pemeriksaan kepatuhan terhadap kebijakan keamanan informasi.
4.- **Output:** Laporan temuan dan rekomendasi perbaikan untuk memitigasi risiko serangan siber dan memastikan integritas data pemerintah.</t>
        </is>
      </c>
      <c r="G72" s="15" t="n">
        <v>100</v>
      </c>
      <c r="H72" s="15" t="n">
        <v>21.8</v>
      </c>
      <c r="I72" s="15" t="n">
        <v>4.33</v>
      </c>
      <c r="J72" s="15" t="n">
        <v>86.51000000000001</v>
      </c>
      <c r="K72" s="15" t="n">
        <v>86.51000000000001</v>
      </c>
      <c r="L72" s="16" t="n">
        <v>0.1349</v>
      </c>
      <c r="M72" s="16" t="n">
        <v>0.1349</v>
      </c>
      <c r="N72" s="15" t="n">
        <v>13.49</v>
      </c>
      <c r="O72" s="17" t="inlineStr">
        <is>
          <t>PASSED</t>
        </is>
      </c>
      <c r="P72" s="16" t="n">
        <v>0.8651</v>
      </c>
    </row>
    <row r="73">
      <c r="A73" s="12" t="n">
        <v>65</v>
      </c>
      <c r="B73" s="13" t="inlineStr">
        <is>
          <t>Faktual</t>
        </is>
      </c>
      <c r="C73" s="13" t="inlineStr">
        <is>
          <t>google/gemma-4-26b-a4b-it:free</t>
        </is>
      </c>
      <c r="D73" s="14" t="inlineStr">
        <is>
          <t>Jelaskan secara umum konsep 'audit internal keamanan'.</t>
        </is>
      </c>
      <c r="E73" s="14" t="inlineStr">
        <is>
          <t>Audit oleh tim di dalam instansi untuk menilai kontrol keamanan.</t>
        </is>
      </c>
      <c r="F73" s="14" t="inlineStr">
        <is>
          <t>**Audit Internal Keamanan** dalam konteks SPBE adalah proses evaluasi mandiri yang dilakukan oleh unit pengawas internal instansi pemerintah untuk menilai efektivitas, efisiensi, dan kepatuhan terhadap kebijakan keamanan informasi.
**Inti Konsep:**
1.  **Tujuan:** Memastikan kontrol keamanan (teknis dan administratif) berjalan sesuai standar (seperti ISO/IEC 27001 atau regulasi BSSN) guna memitigasi risiko serangan siber dan kebocoran data.
2._**Ruang Lingkup:** Meliputi pemeriksaan integritas data, kerahasiaan (*confidentiality*), ketersediaan (*availability*), manajemen akses, serta prosedur penanganan insiden pada infrastruktur TIK.
3._**Output:** Temuan berupa celah keamanan (*vulnerability*) dan ketidakpatuhan terhadap regulasi, yang diikuti dengan rekomendasi perbaikan sebelum dilakukan audit eksternal/formal.
4._**Landasan:** Merupakan bagian dari tata kelola manajemen risiko dalam kerangka kerja SPBE untuk menjamin keberlangsungan layanan publik digital.</t>
        </is>
      </c>
      <c r="G73" s="15" t="n">
        <v>100</v>
      </c>
      <c r="H73" s="15" t="n">
        <v>17.95</v>
      </c>
      <c r="I73" s="15" t="n">
        <v>4.33</v>
      </c>
      <c r="J73" s="15" t="n">
        <v>86.69</v>
      </c>
      <c r="K73" s="15" t="n">
        <v>86.69</v>
      </c>
      <c r="L73" s="16" t="n">
        <v>0.1331</v>
      </c>
      <c r="M73" s="16" t="n">
        <v>0.1331</v>
      </c>
      <c r="N73" s="15" t="n">
        <v>13.31</v>
      </c>
      <c r="O73" s="17" t="inlineStr">
        <is>
          <t>PASSED</t>
        </is>
      </c>
      <c r="P73" s="16" t="n">
        <v>0.8669</v>
      </c>
    </row>
    <row r="74">
      <c r="A74" s="12" t="n">
        <v>66</v>
      </c>
      <c r="B74" s="13" t="inlineStr">
        <is>
          <t>Faktual</t>
        </is>
      </c>
      <c r="C74" s="13" t="inlineStr">
        <is>
          <t>google/gemma-4-26b-a4b-it:free</t>
        </is>
      </c>
      <c r="D74" s="14" t="inlineStr">
        <is>
          <t>Jelaskan secara umum konsep 'data at-rest, in-use, dan in-transit'.</t>
        </is>
      </c>
      <c r="E74" s="14" t="inlineStr">
        <is>
          <t>Kondisi data saat disimpan, digunakan, dan dipertukarkan.</t>
        </is>
      </c>
      <c r="F74" s="14" t="inlineStr">
        <is>
          <t>Dalam konteks keamanan informasi dan tata kelola data (termasuk dalam kerangka SPBE), berikut adalah penjelasannya:
1.  **Data At-Rest (Data Statis):** Data yang sedang disimpan dalam media penyimpanan (seperti hard disk, database, atau cloud storage) dan tidak sedang berpindah atau diproses.
    *   **Fokus Keamanan:** Enkripsi penyimpanan dan kontrol akses fisik/logis.
2.  **Data In-Transit (Data Berpindah):** Data yang sedang berpindah dari satu lokasi ke lokasi lain melalui jaringan (seperti pengiriman email, akses web, atau transfer antar server).
    *   **Fokus Keamanan:** Penggunaan protokol enkripsi transmisi (contoh: TLS/SSL, VPN).
3.- **Data In-Use (Data Terpakai):** Data yang sedang dibuka, dibaca, atau diproses oleh CPU dan RAM dalam memori sistem untuk keperluan komputasi.
    *   **Fokus Keamanan:** Perlindungan memori, kontrol akses aplikasi, dan teknik seperti *confidential computing*.</t>
        </is>
      </c>
      <c r="G74" s="15" t="n">
        <v>100</v>
      </c>
      <c r="H74" s="15" t="n">
        <v>28.43</v>
      </c>
      <c r="I74" s="15" t="n">
        <v>4.29</v>
      </c>
      <c r="J74" s="15" t="n">
        <v>85.88</v>
      </c>
      <c r="K74" s="15" t="n">
        <v>85.88</v>
      </c>
      <c r="L74" s="16" t="n">
        <v>0.1412</v>
      </c>
      <c r="M74" s="16" t="n">
        <v>0.1412</v>
      </c>
      <c r="N74" s="15" t="n">
        <v>14.12</v>
      </c>
      <c r="O74" s="17" t="inlineStr">
        <is>
          <t>PASSED</t>
        </is>
      </c>
      <c r="P74" s="16" t="n">
        <v>0.8588</v>
      </c>
    </row>
    <row r="75">
      <c r="A75" s="12" t="n">
        <v>67</v>
      </c>
      <c r="B75" s="13" t="inlineStr">
        <is>
          <t>Faktual</t>
        </is>
      </c>
      <c r="C75" s="13" t="inlineStr">
        <is>
          <t>google/gemma-4-26b-a4b-it:free</t>
        </is>
      </c>
      <c r="D75" s="14" t="inlineStr">
        <is>
          <t>Jelaskan secara umum konsep 'survei kepuasan masyarakat (SKM)'.</t>
        </is>
      </c>
      <c r="E75" s="14" t="inlineStr">
        <is>
          <t>Instrumen mengukur kepuasan masyarakat atas layanan.</t>
        </is>
      </c>
      <c r="F75" s="14" t="inlineStr">
        <is>
          <t>**Survei Kepuasan Masyarakat (SKM)** adalah instrumen pengukuran kinerja penyelenggara pelayanan publik untuk mengetahui tingkat kepuasan pengguna layanan.
**Poin Utama:**
1.  **Tujuan:** Menilai kualitas layanan, mengidentifikasi kelemahan, dan sebagai dasar perbaikan berkelanjutan (*continuous improvement*).
2.  **Objek:** Persepsi masyarakat terhadap unit penyelenggara layanan publik.
3.- **Indikator Utama (berdasarkan Permenpan RB):** Meliputi persyaratan, prosedur, waktu pelayanan, biaya/tarif, produk layanan, kompetensi pelaksana, perilaku pelaksana, sarana prasarana, serta pengelolaan pengaduan.
4.- **Output:** Nilai Indeks Kepuasan Masyarakat (IKM) yang menjadi indikator keberhasilan tata kelola pelayanan publik.</t>
        </is>
      </c>
      <c r="G75" s="15" t="n">
        <v>100</v>
      </c>
      <c r="H75" s="15" t="n">
        <v>20.78</v>
      </c>
      <c r="I75" s="15" t="n">
        <v>4.42</v>
      </c>
      <c r="J75" s="15" t="n">
        <v>88.45999999999999</v>
      </c>
      <c r="K75" s="15" t="n">
        <v>88.45999999999999</v>
      </c>
      <c r="L75" s="16" t="n">
        <v>0.1154</v>
      </c>
      <c r="M75" s="16" t="n">
        <v>0.1154</v>
      </c>
      <c r="N75" s="15" t="n">
        <v>11.54</v>
      </c>
      <c r="O75" s="17" t="inlineStr">
        <is>
          <t>PASSED</t>
        </is>
      </c>
      <c r="P75" s="16" t="n">
        <v>0.8846000000000001</v>
      </c>
    </row>
    <row r="76">
      <c r="A76" s="12" t="n">
        <v>68</v>
      </c>
      <c r="B76" s="13" t="inlineStr">
        <is>
          <t>Analisis</t>
        </is>
      </c>
      <c r="C76" s="13" t="inlineStr">
        <is>
          <t>google/gemma-4-26b-a4b-it:free</t>
        </is>
      </c>
      <c r="D76" s="14" t="inlineStr">
        <is>
          <t>Mengapa metode mystery shopper efektif untuk mengevaluasi kualitas layanan publik?</t>
        </is>
      </c>
      <c r="E76" s="14" t="inlineStr">
        <is>
          <t>Karena penilai menyamar sebagai pengguna biasa, sehingga penilaian dilakukan secara objektif tanpa bias yang muncul saat responden tahu sedang dievaluasi.</t>
        </is>
      </c>
      <c r="F76" s="14" t="inlineStr">
        <is>
          <t>Metode *mystery shopper* efektif untuk mengevaluasi kualitas layanan publik karena:
1.  **Objektivitas Realistis:** Menilai layanan berdasarkan pengalaman nyata pengguna (*user experience*), bukan sekadar laporan administratif atau prosedur di atas kertas.
2.thought
3.  **Deteksi Celah Kinerja:** Mampu mengungkap ketidaksesuaian antara Standar Pelayanan (SP) dengan praktik lapangan (misalnya: perilaku petugas, kecepatan waktu, dan fasilitas).
3.  **Tanpa Rekayasa:** Menghindari fenomena "layanan yang dipercantik" saat audit formal, karena petugas tidak mengetahui bahwa mereka sedang dievaluasi.
4./ **Data Kualitatif Akurat:** Memberikan data langsung mengenai kualitas interaksi manusia dan kemudahan akses layanan yang sering tidak terpotret dalam data statistik/kuantitatif.</t>
        </is>
      </c>
      <c r="G76" s="15" t="n">
        <v>100</v>
      </c>
      <c r="H76" s="15" t="n">
        <v>13.7</v>
      </c>
      <c r="I76" s="15" t="n">
        <v>4.26</v>
      </c>
      <c r="J76" s="15" t="n">
        <v>85.15000000000001</v>
      </c>
      <c r="K76" s="15" t="n">
        <v>85.15000000000001</v>
      </c>
      <c r="L76" s="16" t="n">
        <v>0.1485</v>
      </c>
      <c r="M76" s="16" t="n">
        <v>0.1485</v>
      </c>
      <c r="N76" s="15" t="n">
        <v>14.85</v>
      </c>
      <c r="O76" s="17" t="inlineStr">
        <is>
          <t>PASSED</t>
        </is>
      </c>
      <c r="P76" s="16" t="n">
        <v>0.8515</v>
      </c>
    </row>
    <row r="77">
      <c r="A77" s="12" t="n">
        <v>69</v>
      </c>
      <c r="B77" s="13" t="inlineStr">
        <is>
          <t>Evaluatif</t>
        </is>
      </c>
      <c r="C77" s="13" t="inlineStr">
        <is>
          <t>google/gemma-4-26b-a4b-it:free</t>
        </is>
      </c>
      <c r="D77" s="14" t="inlineStr">
        <is>
          <t>Apa dampaknya jika portal nasional pelayanan publik tidak berjalan optimal?</t>
        </is>
      </c>
      <c r="E77" s="14" t="inlineStr">
        <is>
          <t>Masyarakat kesulitan mengakses layanan pemerintah secara terpadu, sehingga menurunkan kualitas dan efisiensi pelayanan publik secara keseluruhan.</t>
        </is>
      </c>
      <c r="F77" s="14" t="inlineStr">
        <is>
          <t>Jika portal nasional pelayanan publik tidak berjalan optimal, dampaknya adalah:
1.  **Fragmentasi Layanan:** Terjadi ego sektoral di mana masyarakat harus mengakses banyak aplikasi/situs yang berbeda untuk urusan yang berkaitan, sehingga tidak efisien.
2.- **Inefisiensi Anggaran:** Terjadi pemborosan anggaran negara akibat pembangunan aplikasi/portal yang serupa (duplikasi) di setiap instansi.
3.- **Data Silo:** Data antar instansi tidak terintegrasi, menghambat terwujudnya Satu Data Indonesia dan menghalangi pengambilan kebijakan berbasis data (*data-driven policy*).
4.- **Penurunan Kepercayaan Publik:** Rendahnya kualitas layanan digital menurunkan tingkat kepuasan dan kepercayaan masyarakat terhadap pemerintah.
5.- **Hambatan Transformasi Digital:** Kegagalan mencapai target indeks SPBE dan menghambat integrasi layanan digital nasional yang inklusif.</t>
        </is>
      </c>
      <c r="G77" s="15" t="n">
        <v>84.63</v>
      </c>
      <c r="H77" s="15" t="n">
        <v>13.02</v>
      </c>
      <c r="I77" s="15" t="n">
        <v>4.23</v>
      </c>
      <c r="J77" s="15" t="n">
        <v>84.63</v>
      </c>
      <c r="K77" s="15" t="n">
        <v>84.63</v>
      </c>
      <c r="L77" s="16" t="n">
        <v>0.1537</v>
      </c>
      <c r="M77" s="16" t="n">
        <v>0.1537</v>
      </c>
      <c r="N77" s="15" t="n">
        <v>15.37</v>
      </c>
      <c r="O77" s="18" t="inlineStr">
        <is>
          <t>FAILED</t>
        </is>
      </c>
      <c r="P77" s="16" t="n">
        <v>0.8463000000000001</v>
      </c>
    </row>
    <row r="78">
      <c r="A78" s="12" t="n">
        <v>70</v>
      </c>
      <c r="B78" s="13" t="inlineStr">
        <is>
          <t>Evaluatif</t>
        </is>
      </c>
      <c r="C78" s="13" t="inlineStr">
        <is>
          <t>google/gemma-4-26b-a4b-it:free</t>
        </is>
      </c>
      <c r="D78" s="14" t="inlineStr">
        <is>
          <t>Seberapa penting kepuasan pengguna sebagai tolok ukur keberhasilan layanan digital pemerintah?</t>
        </is>
      </c>
      <c r="E78" s="14" t="inlineStr">
        <is>
          <t>Keberhasilan layanan digital diukur dari manfaat nyata yang dirasakan masyarakat.</t>
        </is>
      </c>
      <c r="F78" s="14" t="inlineStr">
        <is>
          <t>Sangat penting. Dalam kerangka SPBE, kepuasan pengguna adalah **indikator utama keberhasilan (outcome)**, bukan sekadar penyediaan aplikasi.
Berikut adalah 3 alasan fundamentalnya:
1.  **Indikator Keberhasilan Layanan:** Keberhasilan SPBE tidak diukur dari jumlah aplikasi yang dibuat, melainkan dari sejauh mana aplikasi tersebut mampu menjawab kebutuhan masyarakat dan mempermudah urusan publik (efektivitas).
2. terukur secara Objektif:** Dalam evaluasi kematangan SPBE, aspek layanan harus berorientasi pada pengguna (*user-centric*). Jika pengguna tidak puas, maka terjadi pemborosan anggaran (*inefisiensi*) pada sistem yang tidak terpakai.
3. **Kepatuhan terhadap Prinsip Tata Kelola:** Layanan digital yang baik harus memenuhi prinsip interoperabilitas dan kemudahan akses. Kepuasan pengguna menunjukkan bahwa sistem telah terintegrasi dengan baik dan dapat digunakan secara inklusif.
**Kesimpulan:** Tanpa kepuasan pengguna, digitalisasi pemerintah hanya menjadi "digitalisasi birokrasi" yang tidak memberikan nilai tambah nyata bagi masyarakat.</t>
        </is>
      </c>
      <c r="G78" s="15" t="n">
        <v>100</v>
      </c>
      <c r="H78" s="15" t="n">
        <v>25.82</v>
      </c>
      <c r="I78" s="15" t="n">
        <v>4.34</v>
      </c>
      <c r="J78" s="15" t="n">
        <v>86.81</v>
      </c>
      <c r="K78" s="15" t="n">
        <v>86.81</v>
      </c>
      <c r="L78" s="16" t="n">
        <v>0.1319</v>
      </c>
      <c r="M78" s="16" t="n">
        <v>0.1319</v>
      </c>
      <c r="N78" s="15" t="n">
        <v>13.19</v>
      </c>
      <c r="O78" s="17" t="inlineStr">
        <is>
          <t>PASSED</t>
        </is>
      </c>
      <c r="P78" s="16" t="n">
        <v>0.8681</v>
      </c>
    </row>
    <row r="79">
      <c r="A79" s="12" t="n">
        <v>71</v>
      </c>
      <c r="B79" s="13" t="inlineStr">
        <is>
          <t>Faktual</t>
        </is>
      </c>
      <c r="C79" s="13" t="inlineStr">
        <is>
          <t>google/gemma-4-26b-a4b-it:free</t>
        </is>
      </c>
      <c r="D79" s="14" t="inlineStr">
        <is>
          <t>Jelaskan secara umum konsep 'dasbor eksekutif untuk pimpinan'.</t>
        </is>
      </c>
      <c r="E79" s="14" t="inlineStr">
        <is>
          <t>Tampilan ringkas indikator kinerja untuk pengambilan keputusan.</t>
        </is>
      </c>
      <c r="F79" s="14" t="inlineStr">
        <is>
          <t>**Dasbor Eksekutif untuk Pimpinan** dalam konteks SPBE adalah instrumen visualisasi data strategis yang menyajikan informasi kunci (KPI/Indikator Kinerja Utama) secara *real-time* dan ringkas.
**Fungsi Utama:**
1.  **Monitoring:** Memantau capaian kinerja instansi/program secara cepat.
2.  **Pengambilan Keputusan:** Menyediakan data akurat sebagai dasar kebijakan (*data-driven decision making*).
3.  **Deteksi Dini:** Mengidentifikasi masalah atau penyimpangan target sebelum menjadi kritis.
**Karakteristik:**
*   **Visual:** Menggunakan grafik, diagram, dan indikator warna (merah/kuning/hijau).
*   **Agregat:** Menyajikan data tingkat tinggi (tidak mendetail ke teknis operasional).
*   **Terintegrasi:** Mengambil data dari berbagai aplikasi/sistem informasi yang telah terintegrasi dalam arsitektur SPBE.</t>
        </is>
      </c>
      <c r="G79" s="15" t="n">
        <v>84.87</v>
      </c>
      <c r="H79" s="15" t="n">
        <v>6.81</v>
      </c>
      <c r="I79" s="15" t="n">
        <v>4.24</v>
      </c>
      <c r="J79" s="15" t="n">
        <v>84.87</v>
      </c>
      <c r="K79" s="15" t="n">
        <v>84.87</v>
      </c>
      <c r="L79" s="16" t="n">
        <v>0.1513</v>
      </c>
      <c r="M79" s="16" t="n">
        <v>0.1513</v>
      </c>
      <c r="N79" s="15" t="n">
        <v>15.13</v>
      </c>
      <c r="O79" s="18" t="inlineStr">
        <is>
          <t>FAILED</t>
        </is>
      </c>
      <c r="P79" s="16" t="n">
        <v>0.8487</v>
      </c>
    </row>
    <row r="80">
      <c r="A80" s="12" t="n">
        <v>72</v>
      </c>
      <c r="B80" s="13" t="inlineStr">
        <is>
          <t>Faktual</t>
        </is>
      </c>
      <c r="C80" s="13" t="inlineStr">
        <is>
          <t>google/gemma-4-26b-a4b-it:free</t>
        </is>
      </c>
      <c r="D80" s="14" t="inlineStr">
        <is>
          <t>Jelaskan secara umum konsep 'integrasi aplikasi antarinstansi'.</t>
        </is>
      </c>
      <c r="E80" s="14" t="inlineStr">
        <is>
          <t>Menghubungkan aplikasi agar dapat berbagi data dan fungsi.</t>
        </is>
      </c>
      <c r="F80" s="14" t="inlineStr">
        <is>
          <t>**Integrasi aplikasi antarinstansi** adalah proses menghubungkan berbagai sistem aplikasi yang berbeda antar instansi pemerintah agar dapat saling bertukar data dan informasi secara otomatis, aman, dan terstruktur.
**Inti Konsep:**
1.  **Tujuan:** Menghilangkan silo data (data yang terfragmentasi) dan menghindari duplikasi aplikasi/data.
2.- **Mekanisme:** Menggunakan standar interkoneksi melalui **API (*Application Programming Interface*)** atau melalui **Platform Berbagi Pakai (PBP)**.
3- **Prinsur Utama:** Mengedepankan prinsip **Satu Data Indonesia** dan penggunaan **Sistem Penghubung Layanan Pemerintah (SPLP)** sebagai jalur komunikasi data antarinstansi.
4- **Output:** Terciptanya interoperabilitas data, sehingga layanan publik dapat berjalan secara terpadu tanpa harus mengisi data yang sama berulang kali (*once-only principle*).
**Dasar Regulasi:** Perpres No. 95 Tahun 2-018 tentang SPBE dan Perpres No. 39 Tahun 2019 tentang Satu Data Indonesia.</t>
        </is>
      </c>
      <c r="G80" s="15" t="n">
        <v>100</v>
      </c>
      <c r="H80" s="15" t="n">
        <v>17.11</v>
      </c>
      <c r="I80" s="15" t="n">
        <v>4.26</v>
      </c>
      <c r="J80" s="15" t="n">
        <v>85.23999999999999</v>
      </c>
      <c r="K80" s="15" t="n">
        <v>85.23999999999999</v>
      </c>
      <c r="L80" s="16" t="n">
        <v>0.1476</v>
      </c>
      <c r="M80" s="16" t="n">
        <v>0.1476</v>
      </c>
      <c r="N80" s="15" t="n">
        <v>14.76</v>
      </c>
      <c r="O80" s="17" t="inlineStr">
        <is>
          <t>PASSED</t>
        </is>
      </c>
      <c r="P80" s="16" t="n">
        <v>0.8524</v>
      </c>
    </row>
    <row r="81">
      <c r="A81" s="12" t="n">
        <v>73</v>
      </c>
      <c r="B81" s="13" t="inlineStr">
        <is>
          <t>Faktual</t>
        </is>
      </c>
      <c r="C81" s="13" t="inlineStr">
        <is>
          <t>google/gemma-4-26b-a4b-it:free</t>
        </is>
      </c>
      <c r="D81" s="14" t="inlineStr">
        <is>
          <t>Jelaskan secara umum konsep 'kompetensi teknis ASN bidang digital'.</t>
        </is>
      </c>
      <c r="E81" s="14" t="inlineStr">
        <is>
          <t>Kemampuan teknis digital yang wajib dimiliki ASN sesuai jabatan.</t>
        </is>
      </c>
      <c r="F81" s="14" t="inlineStr">
        <is>
          <t>Konsep **kompetensi teknis ASN bidang digital** adalah kemampuan spesifik (pengetahuan, keterampilan, dan sikap) yang harus dimiliki ASN untuk menjalankan tugas, fungsi, dan wewenang dalam ekosistem digital pemerintah.
Berdasarkan kerangka tata kelola SPBE, kompetensi ini mencakup tiga pilar utama:
1.  **Literasi Digital:** Kemampuan menggunakan perangkat, perangkat lunak, dan sistem informasi dalam bekerja.
2.- **Kecakapan Digital (Digital Skills):** Kemampuan teknis operasional seperti manajemen data, keamanan siber (*cybersecurity*), pengelolaan infrastruktur TIK, pengembangan aplikasi, serta analisis data.
3.- **Kematangan Digital:** Kemampuan mengintegrasikan teknologi digital untuk mendukung proses bisnis pemerintahan, pengambilan keputusan berbasis data (*data-driven decision making*), dan pelayanan publik yang efisien.
**Intinya:** Bukan sekadar bisa menggunakan komputer, melainkan kemampuan teknis untuk mengelola, mengamankan, dan memanfaatkan teknologi guna mendukung transformasi digital pemerintahan.</t>
        </is>
      </c>
      <c r="G81" s="15" t="n">
        <v>100</v>
      </c>
      <c r="H81" s="15" t="n">
        <v>18</v>
      </c>
      <c r="I81" s="15" t="n">
        <v>4.45</v>
      </c>
      <c r="J81" s="15" t="n">
        <v>89</v>
      </c>
      <c r="K81" s="15" t="n">
        <v>89</v>
      </c>
      <c r="L81" s="16" t="n">
        <v>0.11</v>
      </c>
      <c r="M81" s="16" t="n">
        <v>0.11</v>
      </c>
      <c r="N81" s="15" t="n">
        <v>11</v>
      </c>
      <c r="O81" s="17" t="inlineStr">
        <is>
          <t>PASSED</t>
        </is>
      </c>
      <c r="P81" s="16" t="n">
        <v>0.89</v>
      </c>
    </row>
    <row r="82">
      <c r="A82" s="12" t="n">
        <v>74</v>
      </c>
      <c r="B82" s="13" t="inlineStr">
        <is>
          <t>Faktual</t>
        </is>
      </c>
      <c r="C82" s="13" t="inlineStr">
        <is>
          <t>google/gemma-4-26b-a4b-it:free</t>
        </is>
      </c>
      <c r="D82" s="14" t="inlineStr">
        <is>
          <t>Jelaskan secara umum konsep 'forum konsultasi publik'.</t>
        </is>
      </c>
      <c r="E82" s="14" t="inlineStr">
        <is>
          <t>Ruang temu pengguna dan penyedia layanan untuk masukan.</t>
        </is>
      </c>
      <c r="F82" s="14" t="inlineStr">
        <is>
          <t>**Forum Konsultasi Publik (FKP)** dalam konteks SPBE adalah mekanisme komunikasi dua arah antara penyelenggara layanan (Pemerintah) dengan masyarakat (pengguna layanan/stakeholder) untuk mendapatkan masukan, saran, dan kritik.
**Tujuan Utama:**
1. **Transparansi:** Melibatkan publik dalam proses perancangan atau evaluasi kebijakan/layanan digital.
2. **Partisipasi:** Menjamin hak masyarakat untuk memberikan masukan terhadap standar pelayanan publik.
3.- **Akuntabilitas:** Memastikan layanan pemerintah relevan dengan kebutuhan riil pengguna.
**Output:** 
Dokumen atau rekomendasi perbaikan yang digunakan sebagai dasar penyempurnaan kebijakan, regulasi, atau desain layanan digital pemerintah.</t>
        </is>
      </c>
      <c r="G82" s="15" t="n">
        <v>100</v>
      </c>
      <c r="H82" s="15" t="n">
        <v>13.15</v>
      </c>
      <c r="I82" s="15" t="n">
        <v>4.31</v>
      </c>
      <c r="J82" s="15" t="n">
        <v>86.23999999999999</v>
      </c>
      <c r="K82" s="15" t="n">
        <v>86.23999999999999</v>
      </c>
      <c r="L82" s="16" t="n">
        <v>0.1376</v>
      </c>
      <c r="M82" s="16" t="n">
        <v>0.1376</v>
      </c>
      <c r="N82" s="15" t="n">
        <v>13.76</v>
      </c>
      <c r="O82" s="17" t="inlineStr">
        <is>
          <t>PASSED</t>
        </is>
      </c>
      <c r="P82" s="16" t="n">
        <v>0.8624000000000001</v>
      </c>
    </row>
    <row r="83">
      <c r="A83" s="12" t="n">
        <v>75</v>
      </c>
      <c r="B83" s="13" t="inlineStr">
        <is>
          <t>Faktual</t>
        </is>
      </c>
      <c r="C83" s="13" t="inlineStr">
        <is>
          <t>google/gemma-4-26b-a4b-it:free</t>
        </is>
      </c>
      <c r="D83" s="14" t="inlineStr">
        <is>
          <t>Jelaskan secara umum konsep 'manajemen insiden siber'.</t>
        </is>
      </c>
      <c r="E83" s="14" t="inlineStr">
        <is>
          <t>Proses mendeteksi, merespons, dan memulihkan dari insiden siber.</t>
        </is>
      </c>
      <c r="F83" s="14" t="inlineStr">
        <is>
          <t>Dalam konteks SPBE, **Manajemen Insiden Siber** adalah proses sistematis untuk mendeteksi, merespons, dan memulihkan sistem dari serangan atau gangguan keamanan informasi.
**Inti Konsep:**
1.  **Identifikasi:** Mendeteksi adanya aktivitas mencurigakan atau pelanggaran keamanan.
2.  **Penanganan (Containment):** Mengisolasi sistem yang terdampak agar kerusakan tidak meluas.
3.  **Eradikasi:** Menghilangkan penyebab insiden (misalnya: menghapus malware).
4.- **Pemulihan (Recovery):** Mengembalikan sistem ke kondisi operasional normal secara aman.
5.  **Evaluasi (Lessons Learned):** Analisis pasca-insiden untuk memperkuat tata kelola dan mencegah kejadian berulang.
**Landasan Utama:** Menjamin keberlangsungan layanan publik digital dan menjaga integritas serta kerahasiaan data pemerintah.</t>
        </is>
      </c>
      <c r="G83" s="15" t="n">
        <v>100</v>
      </c>
      <c r="H83" s="15" t="n">
        <v>22.98</v>
      </c>
      <c r="I83" s="15" t="n">
        <v>4.46</v>
      </c>
      <c r="J83" s="15" t="n">
        <v>89.28</v>
      </c>
      <c r="K83" s="15" t="n">
        <v>89.28</v>
      </c>
      <c r="L83" s="16" t="n">
        <v>0.1072</v>
      </c>
      <c r="M83" s="16" t="n">
        <v>0.1072</v>
      </c>
      <c r="N83" s="15" t="n">
        <v>10.72</v>
      </c>
      <c r="O83" s="17" t="inlineStr">
        <is>
          <t>PASSED</t>
        </is>
      </c>
      <c r="P83" s="16" t="n">
        <v>0.8928</v>
      </c>
    </row>
    <row r="84">
      <c r="A84" s="12" t="n">
        <v>76</v>
      </c>
      <c r="B84" s="13" t="inlineStr">
        <is>
          <t>Evaluatif</t>
        </is>
      </c>
      <c r="C84" s="13" t="inlineStr">
        <is>
          <t>google/gemma-4-26b-a4b-it:free</t>
        </is>
      </c>
      <c r="D84" s="14" t="inlineStr">
        <is>
          <t>Sejauh mana efektivitas manajemen perubahan dalam mendukung keberhasilan transformasi digital instansi?</t>
        </is>
      </c>
      <c r="E84" s="14" t="inlineStr">
        <is>
          <t>Manajemen perubahan menentukan keberhasilan adopsi sistem digital oleh organisasi.</t>
        </is>
      </c>
      <c r="F84" s="14" t="inlineStr">
        <is>
          <t>Manajemen perubahan sangat krusial karena transformasi digital bukan sekadar pengadaan teknologi, melainkan perubahan budaya kerja. Efektivitasnya diukur dari tiga aspek utama:
1.  **Mitigasi Resistensi:** Mengurangi penolakan pegawai terhadap sistem baru melalui edukasi dan sosialisasi, sehingga teknologi tidak hanya menjadi "pajangan" tetapi benar-benar digunakan.
2._**Adaptasi Budaya Kerja:** Menggeser pola kerja manual/birokratis menjadi berbasis data dan digital, memastikan SDM siap menjalankan proses bisnis baru yang lebih efisien.
3._**Keberlanjutan (Sustainability):** Menjamin sistem yang telah dibangun dapat terus digunakan dan dikembangkan karena adanya penerimaan (user adoption) yang tinggi dari seluruh lini organisasi.
**Kesimpulan:** Tanpa manajemen perubahan, transformasi digital hanya akan menjadi **digitalisasi birokrasi yang lama**, bukan **transformasi digital** yang mengubah cara kerja menjadi lebih lincah dan efektif.</t>
        </is>
      </c>
      <c r="G84" s="15" t="n">
        <v>100</v>
      </c>
      <c r="H84" s="15" t="n">
        <v>37.74</v>
      </c>
      <c r="I84" s="15" t="n">
        <v>4.43</v>
      </c>
      <c r="J84" s="15" t="n">
        <v>88.62</v>
      </c>
      <c r="K84" s="15" t="n">
        <v>88.62</v>
      </c>
      <c r="L84" s="16" t="n">
        <v>0.1138</v>
      </c>
      <c r="M84" s="16" t="n">
        <v>0.1138</v>
      </c>
      <c r="N84" s="15" t="n">
        <v>11.38</v>
      </c>
      <c r="O84" s="17" t="inlineStr">
        <is>
          <t>PASSED</t>
        </is>
      </c>
      <c r="P84" s="16" t="n">
        <v>0.8862</v>
      </c>
    </row>
    <row r="85">
      <c r="A85" s="12" t="n">
        <v>77</v>
      </c>
      <c r="B85" s="13" t="inlineStr">
        <is>
          <t>Analisis</t>
        </is>
      </c>
      <c r="C85" s="13" t="inlineStr">
        <is>
          <t>google/gemma-4-26b-a4b-it:free</t>
        </is>
      </c>
      <c r="D85" s="14" t="inlineStr">
        <is>
          <t>Apa perbedaan antara interoperabilitas data dan integrasi aplikasi dalam mewujudkan keterpaduan layanan digital pemerintah?</t>
        </is>
      </c>
      <c r="E85" s="14" t="inlineStr">
        <is>
          <t>Interoperabilitas data berfokus pada pertukaran data, sedangkan integrasi aplikasi berfokus pada keterhubungan antar aplikasi.</t>
        </is>
      </c>
      <c r="F85" s="14" t="inlineStr">
        <is>
          <t>Perbedaan mendasar antara keduanya dalam kerangka SPBE adalah:
**1. Interoperabilitas Data (Fokus pada Data)**
*   **Definisi:** Kemampuan sistem yang berbeda untuk bekerja sama melalui pertukaran data dan penggunaan informasi secara bersama.
*   **Objektif:** Menghilangkan silo data agar data dapat dibaca, dipahami, dan digunakan oleh sistem lain tanpa hambatan format/struktur.
*   **Output:** Data yang mengalir antar instansi (misalnya melalui API atau format standar seperti JSON/XML).
**2. Integrasi Aplikasi (Fokus pada Sistem/Software)**
*   -**Definisi:** Penggabungan atau penyambungan fungsi antar aplikasi agar dapat bekerja sebagai satu kesatuan layanan.
*   **Objektif:** Menghubungkan proses bisnis digital sehingga pengguna tidak perlu berpindah-pindah platform untuk menyelesaikan satu layanan.
*   **Output:** Layanan digital yang terpadu (misalnya: satu kali login/SSO untuk mengakses berbagai layanan pemerintah).
**Ringkasan Perbedaan:**
| Aspek | Interoperabilitas Data | Integrasi Aplikasi |
| :---thought
| **Objek** | Informasi/Data | Perangkat Lunak/Sistem |
| **Tujuan** | Data bisa saling "berbicara" | Aplikasi saling "terhubung" |
| **Fungasi** | Pertukaran konten informasi | Penyatuan alur kerja/proses bisnis |</t>
        </is>
      </c>
      <c r="G85" s="15" t="n">
        <v>100</v>
      </c>
      <c r="H85" s="15" t="n">
        <v>55.84</v>
      </c>
      <c r="I85" s="15" t="n">
        <v>4.4</v>
      </c>
      <c r="J85" s="15" t="n">
        <v>88.01000000000001</v>
      </c>
      <c r="K85" s="15" t="n">
        <v>88.01000000000001</v>
      </c>
      <c r="L85" s="16" t="n">
        <v>0.1199</v>
      </c>
      <c r="M85" s="16" t="n">
        <v>0.1199</v>
      </c>
      <c r="N85" s="15" t="n">
        <v>11.99</v>
      </c>
      <c r="O85" s="17" t="inlineStr">
        <is>
          <t>PASSED</t>
        </is>
      </c>
      <c r="P85" s="16" t="n">
        <v>0.8801</v>
      </c>
    </row>
    <row r="86">
      <c r="A86" s="12" t="n">
        <v>78</v>
      </c>
      <c r="B86" s="13" t="inlineStr">
        <is>
          <t>Faktual</t>
        </is>
      </c>
      <c r="C86" s="13" t="inlineStr">
        <is>
          <t>google/gemma-4-26b-a4b-it:free</t>
        </is>
      </c>
      <c r="D86" s="14" t="inlineStr">
        <is>
          <t>Jelaskan secara umum konsep 'indikator kinerja utama (IKU)'.</t>
        </is>
      </c>
      <c r="E86" s="14" t="inlineStr">
        <is>
          <t>Ukuran keberhasilan pencapaian sasaran prioritas.</t>
        </is>
      </c>
      <c r="F86" s="14" t="inlineStr">
        <is>
          <t>Dalam konteks Tata Kelola SPBE, **Indikator Kinerja Utama (IKU)** adalah ukuran kuantitatif dan kualitatif yang digunakan untuk menilai sejauh mana suatu instansi pemerintah berhasil mencapai sasaran strategisnya.
**Poin Utama IKU:**
1.  **Fungsi:** Sebagai alat ukur keberhasilan pelaksanaan program/kegiatan dalam mencapai tujuan organisasi.
2.- **Karakteristik (SMART):** Harus *Specific* (spesifik), *Measurable* (dapat diukur), *Achievable* (dapat dicapai), *Relevant* (relevan), dan *Time-bound* (memiliki target waktu).
3.**Relevansi SPBE:** IKU digunakan untuk memantau tingkat kematangan (maturity level) penerapan SPBE, efektivitas integrasi sistem, serta kualitas layanan digital pemerintah.
4.**Output:** Hasil pengukuran IKU menjadi dasar pengambilan keputusan, evaluasi kinerja instansi, dan perbaikan berkelanjutan.</t>
        </is>
      </c>
      <c r="G86" s="15" t="n">
        <v>84.59</v>
      </c>
      <c r="H86" s="15" t="n">
        <v>28.4</v>
      </c>
      <c r="I86" s="15" t="n">
        <v>4.23</v>
      </c>
      <c r="J86" s="15" t="n">
        <v>84.59</v>
      </c>
      <c r="K86" s="15" t="n">
        <v>84.59</v>
      </c>
      <c r="L86" s="16" t="n">
        <v>0.1541</v>
      </c>
      <c r="M86" s="16" t="n">
        <v>0.1541</v>
      </c>
      <c r="N86" s="15" t="n">
        <v>15.41</v>
      </c>
      <c r="O86" s="18" t="inlineStr">
        <is>
          <t>FAILED</t>
        </is>
      </c>
      <c r="P86" s="16" t="n">
        <v>0.8459</v>
      </c>
    </row>
    <row r="87">
      <c r="A87" s="12" t="n">
        <v>79</v>
      </c>
      <c r="B87" s="13" t="inlineStr">
        <is>
          <t>Faktual</t>
        </is>
      </c>
      <c r="C87" s="13" t="inlineStr">
        <is>
          <t>google/gemma-4-26b-a4b-it:free</t>
        </is>
      </c>
      <c r="D87" s="14" t="inlineStr">
        <is>
          <t>Jelaskan secara umum konsep 'penilaian tingkat kematangan'.</t>
        </is>
      </c>
      <c r="E87" s="14" t="inlineStr">
        <is>
          <t>Penilaian sejauh mana praktik organisasi telah matang/terlembaga.</t>
        </is>
      </c>
      <c r="F87" s="14" t="inlineStr">
        <is>
          <t>**Penilaian tingkat kematangan (maturity level assessment)** dalam SPBE adalah proses pengukuran sejauh mana penerapan tata kelola, manajemen, dan layanan digital telah berjalan di suatu instansi pemerintah.
**Poin Inti:**
1.  **Tujuan:** Mengetahui posisi (posisi riil) kematangan SPBE instansi dibandingkan dengan target atau standar yang ditetapkan.
2.- **Indikator:** Mengukur 4 domain utama: Kebijakan Internal, Tata Kelola, Manajemen, dan Layanan SPBE.
3. **Skala Nilai:** Biasanya menggunakan skala 1 sampai 5 (dari *Initial/Ad-hoc* hingga *Optimized/Teroptimasi*).
4. **Output:** Menghasilkan nilai indeks kematangan yang menjadi dasar untuk melakukan perbaikan berkelanjutan (*continuous improvement*) dan pemenuhan target nasional.</t>
        </is>
      </c>
      <c r="G87" s="15" t="n">
        <v>82.61</v>
      </c>
      <c r="H87" s="15" t="n">
        <v>21.44</v>
      </c>
      <c r="I87" s="15" t="n">
        <v>4.13</v>
      </c>
      <c r="J87" s="15" t="n">
        <v>82.61</v>
      </c>
      <c r="K87" s="15" t="n">
        <v>82.61</v>
      </c>
      <c r="L87" s="16" t="n">
        <v>0.1739</v>
      </c>
      <c r="M87" s="16" t="n">
        <v>0.1739</v>
      </c>
      <c r="N87" s="15" t="n">
        <v>17.39</v>
      </c>
      <c r="O87" s="18" t="inlineStr">
        <is>
          <t>FAILED</t>
        </is>
      </c>
      <c r="P87" s="16" t="n">
        <v>0.8260999999999999</v>
      </c>
    </row>
    <row r="88">
      <c r="A88" s="12" t="n">
        <v>80</v>
      </c>
      <c r="B88" s="13" t="inlineStr">
        <is>
          <t>Faktual</t>
        </is>
      </c>
      <c r="C88" s="13" t="inlineStr">
        <is>
          <t>google/gemma-4-26b-a4b-it:free</t>
        </is>
      </c>
      <c r="D88" s="14" t="inlineStr">
        <is>
          <t>Jelaskan secara umum konsep 'transformasi tata kelola pelayanan publik'.</t>
        </is>
      </c>
      <c r="E88" s="14" t="inlineStr">
        <is>
          <t>Perubahan menyeluruh tata kelola agar layanan lebih baik.</t>
        </is>
      </c>
      <c r="F88" s="14" t="inlineStr">
        <is>
          <t>Transformasi tata kelola pelayanan publik dalam konteks SPBE adalah **perubahan paradigma dari pelayanan berbasis manual/birokrasi silo menjadi pelayanan berbasis digital yang terintegrasi, efisien, dan berorientasi pada pengguna (*user-centric*).**
Konsep ini mencakup tiga pilar utama:
1.- **Digitalisasi Proses:** Mengalihkan proses bisnis konvensional ke dalam sistem digital untuk meningkatkan kecepatan, transparansi, dan akurasi data.
2.- **Integrasi &amp; Interoperabilitas:** Menghilangkan ego sektoral melalui berbagi pakai data dan aplikasi antar instansi pemerintah agar layanan bersifat satu pintu (tidak terfragmentasi).
3- **Penyederhanaan Birokrasi:** Memangkas alur birokrasi yang panjang menjadi alur digital yang ringkas, guna menciptakan tata kelola yang lebih lincah (*agile*) dan efektif.
**Intinya:** Mengubah cara kerja pemerintah dari berbasis dokumen/fisik menjadi berbasis data dan sistem digital yang saling terhubung untuk memberikan layanan yang lebih mudah, cepat, dan murah bagi masyarakat.</t>
        </is>
      </c>
      <c r="G88" s="15" t="n">
        <v>84.06999999999999</v>
      </c>
      <c r="H88" s="15" t="n">
        <v>33.24</v>
      </c>
      <c r="I88" s="15" t="n">
        <v>4.2</v>
      </c>
      <c r="J88" s="15" t="n">
        <v>84.06999999999999</v>
      </c>
      <c r="K88" s="15" t="n">
        <v>84.06999999999999</v>
      </c>
      <c r="L88" s="16" t="n">
        <v>0.1593</v>
      </c>
      <c r="M88" s="16" t="n">
        <v>0.1593</v>
      </c>
      <c r="N88" s="15" t="n">
        <v>15.93</v>
      </c>
      <c r="O88" s="18" t="inlineStr">
        <is>
          <t>FAILED</t>
        </is>
      </c>
      <c r="P88" s="16" t="n">
        <v>0.8407</v>
      </c>
    </row>
    <row r="89">
      <c r="A89" s="12" t="n">
        <v>81</v>
      </c>
      <c r="B89" s="13" t="inlineStr">
        <is>
          <t>Faktual</t>
        </is>
      </c>
      <c r="C89" s="13" t="inlineStr">
        <is>
          <t>google/gemma-4-26b-a4b-it:free</t>
        </is>
      </c>
      <c r="D89" s="14" t="inlineStr">
        <is>
          <t>Jelaskan secara umum konsep 'ekosistem pusat data nasional'.</t>
        </is>
      </c>
      <c r="E89" s="14" t="inlineStr">
        <is>
          <t>Kumpulan fasilitas pusat data terkonsolidasi tingkat nasional.</t>
        </is>
      </c>
      <c r="F89" s="14" t="inlineStr">
        <is>
          <t>Konsep **Ekosistem Pusat Data Nasional (PDN)** adalah integrasi infrastruktur teknologi informasi yang terpusat untuk mendukung penyelenggaraan pemerintahan berbasis elektronik.
Inti dari konsep ini meliputi:
1.  **Sentralisasi Infrastruktur:** Penggabungan berbagai pusat data instansi pemerintah ke dalam satu infrastruktur (Cloud Government) untuk efisiensi biaya dan sumber daya.
2.- **Interoperabilitas:** Menjamin kemampuan sistem antar instansi untuk saling bertukar data dan bekerja sama secara mulus melalui konektivitas yang terstandarisasi.
3.- **Integrasi Layanan:** Menyatukan berbagai layanan digital pemerintah ke dalam satu ekosistem guna memudahkan masyarakat (Single Sign-On/Single Window).
4.- **Keamanan Terpadu:** Penerapan standar keamanan siber yang seragam dan terpusat untuk melindungi data negara.
5.- **Efisiensi Tata Kelola:** Mengurangi duplikasi pengadaan perangkat keras dan perangkat lunak di tiap instansi sesuai amanat **Perpres No. 95 Tahun 2018 tentang SPBE**.</t>
        </is>
      </c>
      <c r="G89" s="15" t="n">
        <v>100</v>
      </c>
      <c r="H89" s="15" t="n">
        <v>29.8</v>
      </c>
      <c r="I89" s="15" t="n">
        <v>4.33</v>
      </c>
      <c r="J89" s="15" t="n">
        <v>86.65000000000001</v>
      </c>
      <c r="K89" s="15" t="n">
        <v>86.65000000000001</v>
      </c>
      <c r="L89" s="16" t="n">
        <v>0.1335</v>
      </c>
      <c r="M89" s="16" t="n">
        <v>0.1335</v>
      </c>
      <c r="N89" s="15" t="n">
        <v>13.35</v>
      </c>
      <c r="O89" s="17" t="inlineStr">
        <is>
          <t>PASSED</t>
        </is>
      </c>
      <c r="P89" s="16" t="n">
        <v>0.8665</v>
      </c>
    </row>
    <row r="90">
      <c r="A90" s="12" t="n">
        <v>82</v>
      </c>
      <c r="B90" s="13" t="inlineStr">
        <is>
          <t>Evaluatif</t>
        </is>
      </c>
      <c r="C90" s="13" t="inlineStr">
        <is>
          <t>google/gemma-4-26b-a4b-it:free</t>
        </is>
      </c>
      <c r="D90" s="14" t="inlineStr">
        <is>
          <t>Mengapa strategi penilaian perlu diintegrasikan ke dalam layanan digital?</t>
        </is>
      </c>
      <c r="E90" s="14" t="inlineStr">
        <is>
          <t>Agar penilaian berjalan secara real-time dan umpan balik perbaikan dapat diperoleh lebih cepat.</t>
        </is>
      </c>
      <c r="F90" s="14" t="inlineStr">
        <is>
          <t>Strategi penilaian harus diintegrasikan ke dalam layanan digital karena tiga alasan utama berdasarkan prinsip tata kelola SPBE:
1.- **Pemantauan Kinerja Real-Time:** Memungkinkan evaluasi efektivitas, kualitas, dan ketersediaan layanan secara berkelanjutan (bukan hanya periodik) untuk menjamin standar pelayanan publik.
2. **Mitigasi Risiko &amp; Keamanan:** Mengidentifikasi celah keamanan siber dan kegagalan sistem secara dini guna menjaga keberlangsungan layanan digital.
3. **Dasar Pengambilan Keputusan Berbasis Data:** Menyediakan data akurat sebagai basis perbaikan berkelanjutan (*continuous improvement*) dan optimasi sumber daya pemerintah dalam pengembangan layanan berikutnya.</t>
        </is>
      </c>
      <c r="G90" s="15" t="n">
        <v>84.34</v>
      </c>
      <c r="H90" s="15" t="n">
        <v>7.22</v>
      </c>
      <c r="I90" s="15" t="n">
        <v>4.22</v>
      </c>
      <c r="J90" s="15" t="n">
        <v>84.34</v>
      </c>
      <c r="K90" s="15" t="n">
        <v>84.34</v>
      </c>
      <c r="L90" s="16" t="n">
        <v>0.1566</v>
      </c>
      <c r="M90" s="16" t="n">
        <v>0.1566</v>
      </c>
      <c r="N90" s="15" t="n">
        <v>15.66</v>
      </c>
      <c r="O90" s="18" t="inlineStr">
        <is>
          <t>FAILED</t>
        </is>
      </c>
      <c r="P90" s="16" t="n">
        <v>0.8434</v>
      </c>
    </row>
    <row r="91">
      <c r="A91" s="12" t="n">
        <v>83</v>
      </c>
      <c r="B91" s="13" t="inlineStr">
        <is>
          <t>Analisis</t>
        </is>
      </c>
      <c r="C91" s="13" t="inlineStr">
        <is>
          <t>google/gemma-4-26b-a4b-it:free</t>
        </is>
      </c>
      <c r="D91" s="14" t="inlineStr">
        <is>
          <t>Mengapa kanal umpan balik dua arah dapat meningkatkan kualitas layanan digital pemerintah dibandingkan komunikasi satu arah?</t>
        </is>
      </c>
      <c r="E91" s="14" t="inlineStr">
        <is>
          <t>Kanal umpan balik dua arah memungkinkan pengguna menyampaikan masukan dan keluhan sehingga layanan digital pemerintah</t>
        </is>
      </c>
      <c r="F91" s="14" t="inlineStr">
        <is>
          <t>Kanal umpan balik dua arah meningkatkan kualitas layanan digital pemerintah karena:
1.  **Validasi Kebutuhan Pengguna:** Memungkinkan pemerintah mendapatkan data riil mengenai kendala teknis dan kebutuhan pengguna, sehingga pengembangan fitur berbasis kebutuhan (*user-centric*), bukan asumsi.
2. terdeteksi **Deteksi Dini Masalah:** Mempercepat identifikasi *bug*, *error*, atau celah keamanan dalam layanan digital sebelum berdampak luas.
3. **Peningkatan Akuntabilitas &amp; Kepercayaan:** Memberikan ruang bagi masyarakat untuk mengawasi kinerja layanan, yang meningkatkan rasa memiliki (*sense of ownership*) dan kepercayaan publik terhadap pemerintah.
4. **Dasar Perbaikan Berkelanjutan (*Continuous Improvement*):** Menyediakan data untuk evaluasi berkala guna penyempurnaan sistem secara iteratif sesuai prinsip tata kelola SPBE yang adaptif.</t>
        </is>
      </c>
      <c r="G91" s="15" t="n">
        <v>100</v>
      </c>
      <c r="H91" s="15" t="n">
        <v>14.37</v>
      </c>
      <c r="I91" s="15" t="n">
        <v>4.49</v>
      </c>
      <c r="J91" s="15" t="n">
        <v>89.79000000000001</v>
      </c>
      <c r="K91" s="15" t="n">
        <v>89.79000000000001</v>
      </c>
      <c r="L91" s="16" t="n">
        <v>0.1021</v>
      </c>
      <c r="M91" s="16" t="n">
        <v>0.1021</v>
      </c>
      <c r="N91" s="15" t="n">
        <v>10.21</v>
      </c>
      <c r="O91" s="17" t="inlineStr">
        <is>
          <t>PASSED</t>
        </is>
      </c>
      <c r="P91" s="16" t="n">
        <v>0.8979</v>
      </c>
    </row>
    <row r="92">
      <c r="A92" s="12" t="n">
        <v>84</v>
      </c>
      <c r="B92" s="13" t="inlineStr">
        <is>
          <t>Faktual</t>
        </is>
      </c>
      <c r="C92" s="13" t="inlineStr">
        <is>
          <t>google/gemma-4-26b-a4b-it:free</t>
        </is>
      </c>
      <c r="D92" s="14" t="inlineStr">
        <is>
          <t>Jelaskan secara umum konsep 'perekaman aktivitas pemrosesan data pribadi'.</t>
        </is>
      </c>
      <c r="E92" s="14" t="inlineStr">
        <is>
          <t>Pencatatan kegiatan pemrosesan data pribadi untuk akuntabilitas.</t>
        </is>
      </c>
      <c r="F92" s="14" t="inlineStr">
        <is>
          <t>**Perekaman aktivitas pemrosesan data pribadi** adalah proses pencatatan sistematis terhadap seluruh rangkaian kegiatan pengolahan data pribadi (mulai dari perolehan, penggunaan, penyimpanan, hingga penghapusan).
Dalam konteks tata kelola data dan SPBE, konsep ini mencakup:
1.  **Log Aktivitas (*Audit Trail*):** Dokumentasi digital mengenai siapa, kapan, di mana, dan apa yang dilakukan terhadap data pribadi untuk menjamin akuntabilitas.
re
2.- **Tujuan Utama:** 
    *   **Transparansi:** Memastikan alur data dapat ditelusuri.
    *   **Keamanan:** Mendeteksi akses tidak sah atau penyalahgunaan data secara dini.
    *   **Kepatuhan (*Compliance*):** Memenuhi kewajiban regulasi (seperti UU Pelindungan Data Pribadi/UU PDP) untuk membuktikan bahwa pemrosesan dilakukan sesuai dasar hukum yang sah.
3.  **Objek Rekaman:** Mencakup jenis data yang diproses, tujuan pemrosesan, durasi penyimpanan, serta pihak ketiga yang menerima data tersebut.</t>
        </is>
      </c>
      <c r="G92" s="15" t="n">
        <v>100</v>
      </c>
      <c r="H92" s="15" t="n">
        <v>12.27</v>
      </c>
      <c r="I92" s="15" t="n">
        <v>4.4</v>
      </c>
      <c r="J92" s="15" t="n">
        <v>87.93000000000001</v>
      </c>
      <c r="K92" s="15" t="n">
        <v>87.93000000000001</v>
      </c>
      <c r="L92" s="16" t="n">
        <v>0.1207</v>
      </c>
      <c r="M92" s="16" t="n">
        <v>0.1207</v>
      </c>
      <c r="N92" s="15" t="n">
        <v>12.07</v>
      </c>
      <c r="O92" s="17" t="inlineStr">
        <is>
          <t>PASSED</t>
        </is>
      </c>
      <c r="P92" s="16" t="n">
        <v>0.8793</v>
      </c>
    </row>
    <row r="93">
      <c r="A93" s="12" t="n">
        <v>85</v>
      </c>
      <c r="B93" s="13" t="inlineStr">
        <is>
          <t>Faktual</t>
        </is>
      </c>
      <c r="C93" s="13" t="inlineStr">
        <is>
          <t>google/gemma-4-26b-a4b-it:free</t>
        </is>
      </c>
      <c r="D93" s="14" t="inlineStr">
        <is>
          <t>Jelaskan secara umum konsep 'penilaian dampak pelindungan data (DPIA)'.</t>
        </is>
      </c>
      <c r="E93" s="14" t="inlineStr">
        <is>
          <t>Analisis risiko pemrosesan data pribadi sebelum dijalankan.</t>
        </is>
      </c>
      <c r="F93" s="14" t="inlineStr">
        <is>
          <t>**Penilaian Dampak Pelindungan Data (DPIA)** adalah proses sistematis untuk mengidentifikasi, menganalisis, dan memitigasi risiko terhadap hak dan kebebasan individu yang muncul akibat pemrosesan data pribadi dalam suatu sistem atau layanan digital.
**Inti Konsep:**
1.  **Tujuan:** Memastikan kepatuhan terhadap regulasi (seperti UU PDP) dan meminimalisir risiko kebocoran atau penyalahgunaan data sejak tahap perencanaan (*Privacy by Design*).
2.- **Kapan Dilakukan:** Wajib dilakukan ketika pemrosesan data pribadi memiliki **risiko tinggi**, terutama jika menggunakan teknologi baru, pemrosesan skala besar, atau pemantauan sistematis terhadap individu.
3.- **Komponen Utama:**
    *   **Identifikasi Alur Data:** Memetakan bagaimana data dikumpulkan, disimpan, digunakan, dan dibagikan.
    *   **Analisis Risiko:** Menilai potensi dampak negatif (kerugian material/non-material) bagi pemilik data.
    *   **Mitigasi:** Menentukan langkah teknis (enkripsi, anonimisasi) dan organisasional untuk mengurangi risiko tersebut.
4.- **Output:** Laporan penilaian yang menjadi dasar pengambilan keputusan apakah pemrosesan data dapat dilanjutkan dengan kontrol keamanan yang telah ditetapkan.</t>
        </is>
      </c>
      <c r="G93" s="15" t="n">
        <v>100</v>
      </c>
      <c r="H93" s="15" t="n">
        <v>18.13</v>
      </c>
      <c r="I93" s="15" t="n">
        <v>4.35</v>
      </c>
      <c r="J93" s="15" t="n">
        <v>87.03</v>
      </c>
      <c r="K93" s="15" t="n">
        <v>87.03</v>
      </c>
      <c r="L93" s="16" t="n">
        <v>0.1297</v>
      </c>
      <c r="M93" s="16" t="n">
        <v>0.1297</v>
      </c>
      <c r="N93" s="15" t="n">
        <v>12.97</v>
      </c>
      <c r="O93" s="17" t="inlineStr">
        <is>
          <t>PASSED</t>
        </is>
      </c>
      <c r="P93" s="16" t="n">
        <v>0.8703</v>
      </c>
    </row>
    <row r="94">
      <c r="A94" s="12" t="n">
        <v>86</v>
      </c>
      <c r="B94" s="13" t="inlineStr">
        <is>
          <t>Analisis</t>
        </is>
      </c>
      <c r="C94" s="13" t="inlineStr">
        <is>
          <t>google/gemma-4-26b-a4b-it:free</t>
        </is>
      </c>
      <c r="D94" s="14" t="inlineStr">
        <is>
          <t>Apa hubungan antara literasi digital ASN dengan pencapaian tingkat kematangan pada indikator Sumber Daya Manusia Pemdi?</t>
        </is>
      </c>
      <c r="E94" s="14" t="inlineStr">
        <is>
          <t>Literasi digital yang rendah membatasi kemampuan ASN dalam mengoperasikan dan mengembangkan sistem digital secara optimal</t>
        </is>
      </c>
      <c r="F94" s="14" t="inlineStr">
        <is>
          <t>Hubungan antara literasi digital ASN dengan tingkat kematangan indikator SDM Pemda adalah **hubungan kausalitas langsung (sebab-akibat)**.
Berikut poin intinya:
1.  - **Syarat Kompetensi:** Literasi digital merupakan kompetensi dasar yang dinilai dalam aspek SDM pada evaluasi SPBE. Semakin tinggi literasi digital ASN, semakin tinggi skor kompetensi digital yang memenuhi standar indeks kematangan.
2.  - **Pendorong Transformasi:** Literasi digital menentukan kemampuan ASN dalam mengoperasikan, mengelola, dan memanfaatkan aplikasi/platform digital pemerintah. Tanpa literasi yang mumpuni, infrastruktur dan aplikasi digital tidak akan memberikan nilai manfaat (utilitas).
3.  - **Kualitas Tata Kelola:** Peningkatan literasi digital secara kolektif akan meningkatkan kapasitas organisasi dalam menjalankan proses bisnis berbasis elektronik, yang secara langsung menaikkan level kematangan SDM pada domain Tata Kelola SPBE.
**Kesimpulan:** Literasi digital adalah **variabel penggerak utama** untuk mencapai level kematangan SDM yang lebih tinggi (dari level dasar ke level terkelola/terukur).</t>
        </is>
      </c>
      <c r="G94" s="15" t="n">
        <v>100</v>
      </c>
      <c r="H94" s="15" t="n">
        <v>13.74</v>
      </c>
      <c r="I94" s="15" t="n">
        <v>4.45</v>
      </c>
      <c r="J94" s="15" t="n">
        <v>89.03</v>
      </c>
      <c r="K94" s="15" t="n">
        <v>89.03</v>
      </c>
      <c r="L94" s="16" t="n">
        <v>0.1097</v>
      </c>
      <c r="M94" s="16" t="n">
        <v>0.1097</v>
      </c>
      <c r="N94" s="15" t="n">
        <v>10.97</v>
      </c>
      <c r="O94" s="17" t="inlineStr">
        <is>
          <t>PASSED</t>
        </is>
      </c>
      <c r="P94" s="16" t="n">
        <v>0.8903</v>
      </c>
    </row>
    <row r="95">
      <c r="A95" s="12" t="n">
        <v>87</v>
      </c>
      <c r="B95" s="13" t="inlineStr">
        <is>
          <t>Ekstraksi</t>
        </is>
      </c>
      <c r="C95" s="13" t="inlineStr">
        <is>
          <t>google/gemma-4-26b-a4b-it:free</t>
        </is>
      </c>
      <c r="D95" s="14" t="inlineStr">
        <is>
          <t>Sebutkan tiga komponen utama yang umumnya menjadi fokus dalam transformasi Pemerintah Digital.</t>
        </is>
      </c>
      <c r="E95" s="14" t="inlineStr">
        <is>
          <t>Manusia (People / Culture), Proses (Process / Governance), Teknologi (Technology) yang harus berjalan selaras.</t>
        </is>
      </c>
      <c r="F95" s="14" t="inlineStr">
        <is>
          <t>Tiga komponen utama dalam transformasi Pemerintah Digital (SPBE) adalah:
1.  **Tata Kelola (*Governance*):** Kebijakan, struktur organisasi, regulasi, dan manajemen risiko untuk memastikan integrasi dan standar yang seragam.
2.- **Infrastruktur Digital (*Digital Infrastructure*):** Penyediaan infrastruktur berbagi pakai (Pusat Data Nasional, jaringan intra pemerintah, dan teknologi cloud) untuk efisiensi.
3. **Layanan Digital (*Digital Services*):** Integrasi aplikasi dan proses bisnis untuk memberikan layanan publik yang terpadu, aman, dan berorientasi pada pengguna.</t>
        </is>
      </c>
      <c r="G95" s="15" t="n">
        <v>100</v>
      </c>
      <c r="H95" s="15" t="n">
        <v>15.03</v>
      </c>
      <c r="I95" s="15" t="n">
        <v>4.33</v>
      </c>
      <c r="J95" s="15" t="n">
        <v>86.64</v>
      </c>
      <c r="K95" s="15" t="n">
        <v>86.64</v>
      </c>
      <c r="L95" s="16" t="n">
        <v>0.1336</v>
      </c>
      <c r="M95" s="16" t="n">
        <v>0.1336</v>
      </c>
      <c r="N95" s="15" t="n">
        <v>13.36</v>
      </c>
      <c r="O95" s="17" t="inlineStr">
        <is>
          <t>PASSED</t>
        </is>
      </c>
      <c r="P95" s="16" t="n">
        <v>0.8663999999999999</v>
      </c>
    </row>
    <row r="96">
      <c r="A96" s="12" t="n">
        <v>88</v>
      </c>
      <c r="B96" s="13" t="inlineStr">
        <is>
          <t>Faktual</t>
        </is>
      </c>
      <c r="C96" s="13" t="inlineStr">
        <is>
          <t>google/gemma-4-26b-a4b-it:free</t>
        </is>
      </c>
      <c r="D96" s="14" t="inlineStr">
        <is>
          <t>Bagaimana Tim Asesor Eksternal memverifikasi hasil Penilaian Mandiri Pemdi?</t>
        </is>
      </c>
      <c r="E96" s="14" t="inlineStr">
        <is>
          <t>Tim Asesor Eksternal menilai dokumen, melakukan interviu, dan visitasi untuk memverifikasi hasil Penilaian Mandiri.</t>
        </is>
      </c>
      <c r="F96" s="14" t="inlineStr">
        <is>
          <t>Tim Asesor Eksternal memverifikasi hasil Penilaian Mandiri Pemerintah Daerah (Pemda) melalui metode **Audit Kepatuhan dan Validasi Bukti** dengan tahapan berikut:
1.  **Verifikasi Dokumen (Desk Review):** Memeriksa kesesuajaaan antara skor yang diinput dengan bukti dukung (*evidence*) digital/fisik yang diunggah (misalnya: Perkada SPBE, dokumen rencana induk, atau log sistem).
2.- **Wawancara (Interview):** Melakukan tanya jawab dengan pejabat/pengelola IT terkait untuk memastikan bahwa proses yang diklaim dalam penilaian mandiri benar-benar dijalankan secara operasional, bukan sekadar formalitas dokumen.
3.- **Observasi/Uji Petik:** Melakukan pengecekan langsung pada sistem aplikasi atau infrastruktur teknologi informasi yang digunakan untuk membuktikan keberadaan layanan/fitur yang dilaporkan.
4.- **Konfirmasi Lapangan (Jika Perlu):** Melakukan kunjasi untuk memvalidasi kondisi aktual tata kelola dan infrastruktur di lokasi terkait.
**Inti Verifikasi:** Memastikan ada keselarasan (*alignment*) antara **klaim mandiri**, **bukti dokumen**, dan **fakta implementasi** di lapangan.</t>
        </is>
      </c>
      <c r="G96" s="15" t="n">
        <v>100</v>
      </c>
      <c r="H96" s="15" t="n">
        <v>15.27</v>
      </c>
      <c r="I96" s="15" t="n">
        <v>4.43</v>
      </c>
      <c r="J96" s="15" t="n">
        <v>88.61</v>
      </c>
      <c r="K96" s="15" t="n">
        <v>88.61</v>
      </c>
      <c r="L96" s="16" t="n">
        <v>0.1139</v>
      </c>
      <c r="M96" s="16" t="n">
        <v>0.1139</v>
      </c>
      <c r="N96" s="15" t="n">
        <v>11.39</v>
      </c>
      <c r="O96" s="17" t="inlineStr">
        <is>
          <t>PASSED</t>
        </is>
      </c>
      <c r="P96" s="16" t="n">
        <v>0.8861</v>
      </c>
    </row>
    <row r="97">
      <c r="A97" s="12" t="n">
        <v>89</v>
      </c>
      <c r="B97" s="13" t="inlineStr">
        <is>
          <t>Faktual</t>
        </is>
      </c>
      <c r="C97" s="13" t="inlineStr">
        <is>
          <t>google/gemma-4-26b-a4b-it:free</t>
        </is>
      </c>
      <c r="D97" s="14" t="inlineStr">
        <is>
          <t>Apa indikator untuk menilai kompetensi digital ASN dalam layanan digital pemerintah?</t>
        </is>
      </c>
      <c r="E97" s="14" t="inlineStr">
        <is>
          <t>Kompetensi digital ASN meliputi literasi digital, pemanfaatan sistem, pengelolaan data, keamanan digital, kolaborasi digital, etika, dan adaptasi teknologi.</t>
        </is>
      </c>
      <c r="F97" s="14" t="inlineStr">
        <is>
          <t>Berdasarkan kerangka kerja tata kelola SPBE dan standar kompetensi digital ASN, indikator penilaian kompetensi digital meliputi:
1.  **Literasi Digital (Digital Literacy):** Kemampuan mengoperasikan perangkat keras, perangkat lunak, dan sistem aplikasi pemerintah secara efektif.
2.- **Keamanan Digital (Digital Safety):** Kemampuan menerapkan protokol keamanan data, melindungi informasi rahasia negara, dan kesadaran terhadap ancaman siber.
3.- **Etika Digital (Digital Ethics):** Kemampuan berkomunikasi dan berkolaborasi di ruang digital sesuai dengan norma, etika birokrasi, dan aturan hukum (UU ITE).
4.- **Budaya Digital (Digital Culture):** Kemampuan memanfaatkan teknologi untuk mempercepat proses bisnis, pengambilan keputusan berbasis data (*data-driven decision making*), dan inovasi layanan.
5.- **Kecakapan Teknis (Technical Skills):** Penguasaan spesifik sesuai fungsi (misalnya: pengelolaan data, analisis data, atau administrasi sistem informasi) untuk mendukung integrasi layanan digital.</t>
        </is>
      </c>
      <c r="G97" s="15" t="n">
        <v>100</v>
      </c>
      <c r="H97" s="15" t="n">
        <v>8.76</v>
      </c>
      <c r="I97" s="15" t="n">
        <v>4.54</v>
      </c>
      <c r="J97" s="15" t="n">
        <v>90.86</v>
      </c>
      <c r="K97" s="15" t="n">
        <v>90.86</v>
      </c>
      <c r="L97" s="16" t="n">
        <v>0.0914</v>
      </c>
      <c r="M97" s="16" t="n">
        <v>0.0914</v>
      </c>
      <c r="N97" s="15" t="n">
        <v>9.140000000000001</v>
      </c>
      <c r="O97" s="17" t="inlineStr">
        <is>
          <t>PASSED</t>
        </is>
      </c>
      <c r="P97" s="16" t="n">
        <v>0.9086</v>
      </c>
    </row>
    <row r="98">
      <c r="A98" s="12" t="n">
        <v>90</v>
      </c>
      <c r="B98" s="13" t="inlineStr">
        <is>
          <t>Faktual</t>
        </is>
      </c>
      <c r="C98" s="13" t="inlineStr">
        <is>
          <t>google/gemma-4-26b-a4b-it:free</t>
        </is>
      </c>
      <c r="D98" s="14" t="inlineStr">
        <is>
          <t>Bagaimana forum koordinasi Pemdi membantu kolaborasi antar unit pemerintah dan pihak eksternal?</t>
        </is>
      </c>
      <c r="E98" s="14" t="inlineStr">
        <is>
          <t>Forum koordinasi digunakan untuk pertukaran informasi, peningkatan kapasitas, dan kolaborasi antar instansi pemerintah dan pihak eksternal.</t>
        </is>
      </c>
      <c r="F98" s="14" t="inlineStr">
        <is>
          <t>Forum koordinasi Pemda (Pemerintah Daerah) membantu kolaborasi melalui tiga mekanisme utama:
1.  **Sinkronisasi Kebijakan dan Program:** Menyelaraskan perencanaan program digitalisasi antar Organisasi Perangkat Daerah (OPD) agar tidak terjadi tumpang tindih anggaran dan fungsi (siloisasi data/aplikasi).
2.- **Integrasi Arsitektur SPBE:** Menjadi wadah untuk menyatakan standar data, infrastruktur, dan aplikasi antar unit kerja sehingga tercipta interoperabilitas sistem.
3.- **Wadah Kemitraan Strategis:** Memfasilitasi dialog dengan pihak eksternal (akademisi, sektor swasta, dan masyarakat) untuk berbagi sumber daya, transfer teknologi, dan pemanfauan inovasi guna mempercepat transformasi digital daerah.</t>
        </is>
      </c>
      <c r="G98" s="15" t="n">
        <v>100</v>
      </c>
      <c r="H98" s="15" t="n">
        <v>7.86</v>
      </c>
      <c r="I98" s="15" t="n">
        <v>4.34</v>
      </c>
      <c r="J98" s="15" t="n">
        <v>86.75</v>
      </c>
      <c r="K98" s="15" t="n">
        <v>86.75</v>
      </c>
      <c r="L98" s="16" t="n">
        <v>0.1325</v>
      </c>
      <c r="M98" s="16" t="n">
        <v>0.1325</v>
      </c>
      <c r="N98" s="15" t="n">
        <v>13.25</v>
      </c>
      <c r="O98" s="17" t="inlineStr">
        <is>
          <t>PASSED</t>
        </is>
      </c>
      <c r="P98" s="16" t="n">
        <v>0.8675</v>
      </c>
    </row>
    <row r="99">
      <c r="A99" s="12" t="n">
        <v>91</v>
      </c>
      <c r="B99" s="13" t="inlineStr">
        <is>
          <t>Faktual</t>
        </is>
      </c>
      <c r="C99" s="13" t="inlineStr">
        <is>
          <t>google/gemma-4-26b-a4b-it:free</t>
        </is>
      </c>
      <c r="D99" s="14" t="inlineStr">
        <is>
          <t>Bagaimana interoperabilitas data mempengaruhi kualitas indeks Pemdi nasional?</t>
        </is>
      </c>
      <c r="E99" s="14" t="inlineStr">
        <is>
          <t>Interoperabilitas data antar sistem memungkinkan pengukuran indeks Pemdi yang menyeluruh dan konsisten.</t>
        </is>
      </c>
      <c r="F99" s="14" t="inlineStr">
        <is>
          <t>Interoperabilitas data berpengaruh **positif dan signifikan** terhadap peningkatan indeks kematangan SPBE nasional melalui tiga aspek utama:
1.  **Domain Data dan Informasi:** Interoperabilitas yang tinggi meningkatkan skor pada domain keterpaduan data, di mana data antar instansi dapat dibagikan dan digunakan bersama secara sistematis.
2.ers **Efisiensi Layanan Digital:** Memungkinkan integrasi layanan antar instansi (tidak bekerja dalam silo), yang secara langsung menaikkan nilai efisiuensi dalam penilaian indeks SPBE.
3.  **Kualitas Pengambilan Keputusan:** Data yang terintegrasi menjamin satu sumber kebenaran (*single source of truth*), yang merupakan indikator kunci dalam kematangan tata kelola data nasional.
**Intinya:** Semakin tinggi interoperabilitas data, semakin tinggi nilai integrasi sistem, yang merupakan komponen krusular dalam penilaian indeks SPBE.</t>
        </is>
      </c>
      <c r="G99" s="15" t="n">
        <v>100</v>
      </c>
      <c r="H99" s="15" t="n">
        <v>8.699999999999999</v>
      </c>
      <c r="I99" s="15" t="n">
        <v>4.3</v>
      </c>
      <c r="J99" s="15" t="n">
        <v>86.06</v>
      </c>
      <c r="K99" s="15" t="n">
        <v>86.06</v>
      </c>
      <c r="L99" s="16" t="n">
        <v>0.1394</v>
      </c>
      <c r="M99" s="16" t="n">
        <v>0.1394</v>
      </c>
      <c r="N99" s="15" t="n">
        <v>13.94</v>
      </c>
      <c r="O99" s="17" t="inlineStr">
        <is>
          <t>PASSED</t>
        </is>
      </c>
      <c r="P99" s="16" t="n">
        <v>0.8606</v>
      </c>
    </row>
    <row r="100">
      <c r="A100" s="12" t="n">
        <v>92</v>
      </c>
      <c r="B100" s="13" t="inlineStr">
        <is>
          <t>Faktual</t>
        </is>
      </c>
      <c r="C100" s="13" t="inlineStr">
        <is>
          <t>google/gemma-4-26b-a4b-it:free</t>
        </is>
      </c>
      <c r="D100" s="14" t="inlineStr">
        <is>
          <t>Apa metode yang digunakan untuk mengevaluasi pengelolaan data dalam Pemdi?</t>
        </is>
      </c>
      <c r="E100" s="14" t="inlineStr">
        <is>
          <t>Evaluasi pengelolaan data dilakukan melalui kuesioner untuk menilai tata kelola data, metadata, dan interoperabilitas.</t>
        </is>
      </c>
      <c r="F100" s="14" t="inlineStr">
        <is>
          <t>Metode yang digunakan untuk mengevaluasi pengelolaan data dalam penyelenggaraan SPBE adalah melalui **Evaluasi Indeks SPBE**, yang secara spesifik mengukur komponen **Tata Kelola Data** berdasarkan:
1.  **Kematangan Data (Data Maturity):** Mengukur tingkat kematangan pengelolaan data dari level dasar hingga optimal.
2. Satu Kesatuan **Arsitektur Data:** Penilaian terhadap kesesuaah data dengan kerangka arsitektur data nasional.
3. **Penerapan Satu Data Indonesia (SDI):** Penilaian terhadap kepatuhan terhadap prinsip Satu Data Indonesia (standar data, metadata, interoperabilitas, dan kode referensi/data induk).
4. **Keamanan Data:** Evaluasi terhadap aspek kerahasiaan, keutuhan, dan ketersediaan data.
Evaluasi ini mengacu pada **Peraturan Presiden No. 95 Tahun 2018** tentang SPBE dan **Peraturan Presiden No. 39 Tahun 2019** tentang Satu Data Indonesia.</t>
        </is>
      </c>
      <c r="G100" s="15" t="n">
        <v>100</v>
      </c>
      <c r="H100" s="15" t="n">
        <v>17.2</v>
      </c>
      <c r="I100" s="15" t="n">
        <v>4.32</v>
      </c>
      <c r="J100" s="15" t="n">
        <v>86.41</v>
      </c>
      <c r="K100" s="15" t="n">
        <v>86.41</v>
      </c>
      <c r="L100" s="16" t="n">
        <v>0.1359</v>
      </c>
      <c r="M100" s="16" t="n">
        <v>0.1359</v>
      </c>
      <c r="N100" s="15" t="n">
        <v>13.59</v>
      </c>
      <c r="O100" s="17" t="inlineStr">
        <is>
          <t>PASSED</t>
        </is>
      </c>
      <c r="P100" s="16" t="n">
        <v>0.8641</v>
      </c>
    </row>
    <row r="101">
      <c r="A101" s="12" t="n">
        <v>93</v>
      </c>
      <c r="B101" s="13" t="inlineStr">
        <is>
          <t>Faktual</t>
        </is>
      </c>
      <c r="C101" s="13" t="inlineStr">
        <is>
          <t>google/gemma-4-26b-a4b-it:free</t>
        </is>
      </c>
      <c r="D101" s="14" t="inlineStr">
        <is>
          <t>Bagaimana kriteria penilaian keamanan siber Pemdi diterapkan pada instansi pemerintah?</t>
        </is>
      </c>
      <c r="E101" s="14" t="inlineStr">
        <is>
          <t>Keamanan Pemdi dinilai melalui audit keamanan, penerapan kriptografi, dan kapabilitas penanganan insiden siber.</t>
        </is>
      </c>
      <c r="F101" s="14" t="inlineStr">
        <is>
          <t>Kriteria penilaian keamanan siber pada instansi pemerintah (Pemdi) mengacu pada standar manajemen keamanan informasi yang diatur oleh **BSSN (Badan Siber dan Sandi Negara)** dan selaras dengan **Peraturan Presiden No. 95 Tahun 2018 tentang SPBE**.
Penilaian diterapkan melalui parameter berikut:
1.  **Tata Kelola (Governance):** Adanya kebijakan, standar, dan prosedur operasional (SOP) keamanan informasi yang disahkan oleh pimpinan instansi.
2.- **Manajemen Risiko:** Kemampuan instansi dalam melakukan identifikasi, analisis, dan mitigasi risiko terhadap aset informasi dan infrastruktur digital.
3.- **Keamanan Infrastruktur:** Ketahanan perangkat keras, jaringan, dan pusat data terhadap serangan (proteksi lapisan fisik dan logis).
4- **Keamanan Aplikasi:** Penerapan standar pengembangan perangkat lunak yang aman (*secure SDLC*) untuk mencegah kerentanan pada aplikasi layanan publik.
5- **Keamanan Data:** Implementasi kontrol terhadap kerahasiaan (*confidentiality*), integritas (*integrity*), dan ketersediaan (*availability*) data pemerintah.
6- **Manajemen Insiden:** Kesiapan tim tanggap insiden (CSIRT/CSIRT Instansi) dalam mendeteksi, merespons, dan memulihkan sistem pasca-serangan.
7- **SDM dan Budaya Keamanan:** Ketersketersediaan personel ahli keamanan siber dan tingkat kesadaran (*awareness*) pegawai terhadap ancaman siber.
**Metode Penilaian:** Umumnya dilakukan melalui **Audit Keamanan Informasi** (berbasis standar ISO/IEC 27001) dan **Penilaian Mandiri (Self-Assessment)** yang dikoordinasikan oleh BSSN.</t>
        </is>
      </c>
      <c r="G101" s="15" t="n">
        <v>100</v>
      </c>
      <c r="H101" s="15" t="n">
        <v>26.11</v>
      </c>
      <c r="I101" s="15" t="n">
        <v>4.41</v>
      </c>
      <c r="J101" s="15" t="n">
        <v>88.26000000000001</v>
      </c>
      <c r="K101" s="15" t="n">
        <v>88.26000000000001</v>
      </c>
      <c r="L101" s="16" t="n">
        <v>0.1174</v>
      </c>
      <c r="M101" s="16" t="n">
        <v>0.1174</v>
      </c>
      <c r="N101" s="15" t="n">
        <v>11.74</v>
      </c>
      <c r="O101" s="17" t="inlineStr">
        <is>
          <t>PASSED</t>
        </is>
      </c>
      <c r="P101" s="16" t="n">
        <v>0.8826000000000001</v>
      </c>
    </row>
    <row r="102">
      <c r="A102" s="12" t="n">
        <v>94</v>
      </c>
      <c r="B102" s="13" t="inlineStr">
        <is>
          <t>Faktual</t>
        </is>
      </c>
      <c r="C102" s="13" t="inlineStr">
        <is>
          <t>google/gemma-4-26b-a4b-it:free</t>
        </is>
      </c>
      <c r="D102" s="14" t="inlineStr">
        <is>
          <t>Bagaimana infrastruktur Pemdi mendukung aplikasi prioritas dan interoperabilitas?</t>
        </is>
      </c>
      <c r="E102" s="14" t="inlineStr">
        <is>
          <t>Infrastruktur Pemdi mendukung aplikasi prioritas melalui perangkat keras, perangkat lunak, dan sistem yang interoperabel.</t>
        </is>
      </c>
      <c r="F102" s="14" t="inlineStr">
        <is>
          <t xml:space="preserve"> Sebagai ahli SPBE, berikut adalah jawaban teknis mengenai peran infrastruktur Kementerian Komunikasi dan Digital (sebelumnya Kominfo/Pemdi dalam konteks ini) terhadap aplikasi prioritas dan interoperabilitas:
**1. Dukungan terhadap Aplikasi Prioritas**
*   **Cloud Computing (Pusat Data Nasional/PDN):** Menyediakan infrastruktur komputasi awan yang terpusat untuk menampung aplikasi prioritas agar tidak terjadi redundansi server di tiap instansi.
*   **Skalabilitas:** Infrastruktur dirancang untuk menangani lonjakan beban kerja aplikasi layanan publik nasional secara dinamis.
*   **Keamanan Informasi:** Melindungi aplikasi prioritas melalui pengelolaan keamanan jaringan dan data terpusat sesuai standar keamanan siber nasional.
**2. Dukungan terhadap Interoperabilitas**
*   **Penyediaan API (Application Programming Interface):** Menyediakan mekanisme komunikasi antar sistem melalui standar antarmuka yang seragam.
*   **Pusat Data Terintegrasi:** Memastikan data dari berbagai aplikasi dapat mengalir antar instansi tanpa hambatan teknis.
*   **Middleware/Bus Data:** Mengimplementasikan lapisan integrasi (seperti *Enterprise Service Bus*) yang memungkinkan berbagai platform berbeda untuk saling bertukar data secara *real-time* dan akurat.
**Inti Jawaban:** Infrastruktur menyediakan **wadah (PDN)** untuk aplikasi dan **jalur komunikasi (API/Integrasi)** untuk pertukaran data guna mewujudkan ekosistem digital yang terpadu.</t>
        </is>
      </c>
      <c r="G102" s="15" t="n">
        <v>100</v>
      </c>
      <c r="H102" s="15" t="n">
        <v>31.85</v>
      </c>
      <c r="I102" s="15" t="n">
        <v>4.31</v>
      </c>
      <c r="J102" s="15" t="n">
        <v>86.18000000000001</v>
      </c>
      <c r="K102" s="15" t="n">
        <v>86.18000000000001</v>
      </c>
      <c r="L102" s="16" t="n">
        <v>0.1382</v>
      </c>
      <c r="M102" s="16" t="n">
        <v>0.1382</v>
      </c>
      <c r="N102" s="15" t="n">
        <v>13.82</v>
      </c>
      <c r="O102" s="17" t="inlineStr">
        <is>
          <t>PASSED</t>
        </is>
      </c>
      <c r="P102" s="16" t="n">
        <v>0.8618</v>
      </c>
    </row>
    <row r="103">
      <c r="A103" s="12" t="n">
        <v>95</v>
      </c>
      <c r="B103" s="13" t="inlineStr">
        <is>
          <t>Faktual</t>
        </is>
      </c>
      <c r="C103" s="13" t="inlineStr">
        <is>
          <t>google/gemma-4-26b-a4b-it:free</t>
        </is>
      </c>
      <c r="D103" s="14" t="inlineStr">
        <is>
          <t>Bagaimana evaluasi kepuasan pengguna layanan digital dilakukan di instansi pemerintah?</t>
        </is>
      </c>
      <c r="E103" s="14" t="inlineStr">
        <is>
          <t>Kepuasan pengguna diukur melalui fasilitas dukungan dan pengelolaan umpan balik untuk meningkatkan layanan digital.</t>
        </is>
      </c>
      <c r="F103" s="14" t="inlineStr">
        <is>
          <t>Evaluasi kepuasan pengguna layanan digital di instansi pemerintah dilakukan melalui mekanisme berikut:
1.  **Instrumen Pengukuran:** Menggunakan kuesioner atau survei digital (seperti *rating* dan *review* pada aplikasi) yang mengukur aspek kemudahan penggunaan (*usability*), kecepatan akses, keakuratan data, dan kualitas layanan.
2.- **Indikator Utama:** Mengacu pada **Indeks Kepuasan Masyarakat (IKM)** sesuai regulasi Kemenpan-RB, yang kemudian diintegrasi ke dalam penilaian kualitas layanan digital.
3.- **Metode Pengumpulan:**
    *   **Survei Mandiri:** Melalui fitur *feedback* langsung di dalam aplikasi/portal layanan.
    *   - **Survei Periodik:** Melalui survei kepuasan masyarakat secara berkala (bulanan/tahunan).
    *   - **Analisis Data Log:** Memantau perilaku pengguna (waktu penyelesaian transaksi, tingkat kegagalan sistem, dan *drop-off rate*).
4.- **Tindak Lanjut:** Hasil evaluasi wajib dijadikan dasar **perbaikan berkelanjutan (*continuous improvement*)** terhadap sistem informasi dan tata kelola layanan digital untuk meningkatkan maturitas SPBE.</t>
        </is>
      </c>
      <c r="G103" s="15" t="n">
        <v>100</v>
      </c>
      <c r="H103" s="15" t="n">
        <v>14.02</v>
      </c>
      <c r="I103" s="15" t="n">
        <v>4.37</v>
      </c>
      <c r="J103" s="15" t="n">
        <v>87.44</v>
      </c>
      <c r="K103" s="15" t="n">
        <v>87.44</v>
      </c>
      <c r="L103" s="16" t="n">
        <v>0.1256</v>
      </c>
      <c r="M103" s="16" t="n">
        <v>0.1256</v>
      </c>
      <c r="N103" s="15" t="n">
        <v>12.56</v>
      </c>
      <c r="O103" s="17" t="inlineStr">
        <is>
          <t>PASSED</t>
        </is>
      </c>
      <c r="P103" s="16" t="n">
        <v>0.8744</v>
      </c>
    </row>
    <row r="104">
      <c r="A104" s="12" t="n">
        <v>96</v>
      </c>
      <c r="B104" s="13" t="inlineStr">
        <is>
          <t>Faktual</t>
        </is>
      </c>
      <c r="C104" s="13" t="inlineStr">
        <is>
          <t>google/gemma-4-26b-a4b-it:free</t>
        </is>
      </c>
      <c r="D104" s="14" t="inlineStr">
        <is>
          <t>Apa langkah evaluasi pemanfaatan data geospasial untuk mendukung perencanaan pemerintah?</t>
        </is>
      </c>
      <c r="E104" s="14" t="inlineStr">
        <is>
          <t>Evaluasi data geospasial memastikan data akurat, terintegrasi, dan mendukung layanan digital pemerintah.</t>
        </is>
      </c>
      <c r="F104" s="14" t="inlineStr">
        <is>
          <t>Langkah evaluasi pemanfaatan data geospasial untuk perencanaan pemerintah adalah:
1.  **Audit Ketersediaan dan Kualitas Data:** Memastikan data geospasial tersedia di portal Satu Data Indonesia/Geoportal Nasional dan memenuhi standar akurasi, kelengkapan, serta ketepatan waktu.
2.  **Penilaian Interoperabilitas:** Mengevaluasi sejauh mana data geospasial dapat dipertukarkan antar instansi pemerintah melalui infrastruktur berbagi pakai (Geoportal).
3.  **Analisis Relevansi terhadap Kebijakan:** Menilai apakah integrasi data geospasial telah digunakan secara nyata dalam proses pengambilan keputusan dan penyusunan dokumen perencanaan (seperti RTRW atau RPJMN).
4.  **Evaluasi Efektivitas Pemanfaatan:** Mengukur dampak penggunaan data geospasial terhadap efisiensi perencanaan dan pengurangan tumpang tindih pemanfaatan ruang.
5.  **Audit Keamanan dan Aksesibilitas:** Memastikan data dikelola sesuai tingkat klasifikasi keamanan dan dapat diakses oleh pemangku kepentingan yang berwenang secara cepat dan mudah.</t>
        </is>
      </c>
      <c r="G104" s="15" t="n">
        <v>100</v>
      </c>
      <c r="H104" s="15" t="n">
        <v>6.94</v>
      </c>
      <c r="I104" s="15" t="n">
        <v>4.43</v>
      </c>
      <c r="J104" s="15" t="n">
        <v>88.56999999999999</v>
      </c>
      <c r="K104" s="15" t="n">
        <v>88.56999999999999</v>
      </c>
      <c r="L104" s="16" t="n">
        <v>0.1143</v>
      </c>
      <c r="M104" s="16" t="n">
        <v>0.1143</v>
      </c>
      <c r="N104" s="15" t="n">
        <v>11.43</v>
      </c>
      <c r="O104" s="17" t="inlineStr">
        <is>
          <t>PASSED</t>
        </is>
      </c>
      <c r="P104" s="16" t="n">
        <v>0.8857</v>
      </c>
    </row>
    <row r="105">
      <c r="A105" s="12" t="n">
        <v>97</v>
      </c>
      <c r="B105" s="13" t="inlineStr">
        <is>
          <t>Faktual</t>
        </is>
      </c>
      <c r="C105" s="13" t="inlineStr">
        <is>
          <t>google/gemma-4-26b-a4b-it:free</t>
        </is>
      </c>
      <c r="D105" s="14" t="inlineStr">
        <is>
          <t>Bagaimana tata kelola statistik sektoral digunakan untuk mendukung laporan nasional?</t>
        </is>
      </c>
      <c r="E105" s="14" t="inlineStr">
        <is>
          <t>Indikator Pembangunan Statistik memastikan unit kerja menghasilkan data akurat dan terintegrasi untuk laporan nasional.</t>
        </is>
      </c>
      <c r="F105" s="14" t="inlineStr">
        <is>
          <t>Tata kelola statistik sektoral mendukung laporan nasional melalui mekanisme **Satu Data Indonesia (SDI)** dengan langkah-langing berikut:
1.- **Standardisasi Data:** Menjamin data dari berbagai instansi menggunakan standar data, metadata, dan interoperabilitas yang sama agar dapat dikonsolidasikan secara nasional.
2. **Produksi Data Terstruktur:** Instansi pusat/daerah (Produsen Data) menghasilkan data berkualitas yang memenuhi kaidah statistik.
3.- **Validasi &amp; Verifikasi:** Badan Pusat Statistik (BPS) selaku Pembina Data melakukan pengawasan kualitas untuk memastikan data layak digunakan dalam kebijakan nasional.
4. **Integrasi ke Portal Nasional:** Data yang telah valid diintegrasi ke dalam Portal Satu Data Indonesia, yang menjadi sumber tunggal (single source of truth) bagi penyusunan laporan pembangunan nasional, evaluasi capaian target pemerintah, dan pengambilan keputusan berbasis data (*evidence-based policy*).
**Intinya:** Tata kelola statistik sektoral memastikan data yang dihasilkan instansi pemerintah akurat, seragam, dan terintegrasi, sehingga laporan nasional memiliki validitas tinggi.</t>
        </is>
      </c>
      <c r="G105" s="15" t="n">
        <v>100</v>
      </c>
      <c r="H105" s="15" t="n">
        <v>15.49</v>
      </c>
      <c r="I105" s="15" t="n">
        <v>4.36</v>
      </c>
      <c r="J105" s="15" t="n">
        <v>87.16</v>
      </c>
      <c r="K105" s="15" t="n">
        <v>87.16</v>
      </c>
      <c r="L105" s="16" t="n">
        <v>0.1284</v>
      </c>
      <c r="M105" s="16" t="n">
        <v>0.1284</v>
      </c>
      <c r="N105" s="15" t="n">
        <v>12.84</v>
      </c>
      <c r="O105" s="17" t="inlineStr">
        <is>
          <t>PASSED</t>
        </is>
      </c>
      <c r="P105" s="16" t="n">
        <v>0.8716</v>
      </c>
    </row>
    <row r="106">
      <c r="A106" s="12" t="n">
        <v>98</v>
      </c>
      <c r="B106" s="13" t="inlineStr">
        <is>
          <t>Faktual</t>
        </is>
      </c>
      <c r="C106" s="13" t="inlineStr">
        <is>
          <t>google/gemma-4-26b-a4b-it:free</t>
        </is>
      </c>
      <c r="D106" s="14" t="inlineStr">
        <is>
          <t>Apa tujuan prosedur reviu Arsitektur Pemdi?</t>
        </is>
      </c>
      <c r="E106" s="14" t="inlineStr">
        <is>
          <t>Reviu Arsitektur Pemdi dilakukan untuk memastikan transformasi digital berjalan terpadu sesuai pedoman.</t>
        </is>
      </c>
      <c r="F106" s="14" t="inlineStr">
        <is>
          <t>Tujuan prosedur reviu Arsitektur Pemda (Pemerintah Daerah) adalah:
1. **Memastikan Keselarasan:** Menjamin arsitektur SPBE selaras dengan Rencana Induk SPBE, RPJMD, dan rencana strategis perangkat daerah.
2. **Menjamin Kualitas:** Memastikan struktur arsitektur (proses bisnis, data, aplikasi, infrastruktur, keamanan, dan layanan) memenuhi standar teknis dan tata kelola yang ditetapkan.
3.- **Validasi Kepatuhan:** Memverifikasi bahwa arsitektur yang disusun telah sesuai dengan regulasi nasional (Perpres 95/2018 dan turunannya).
4. **Mitigasi Risiko:** Mengidentifikasi ketidaksesuaian atau celah integrasi sebelum arsitektur diimplementasikan dalam pembangunan sistem/layanan digital.</t>
        </is>
      </c>
      <c r="G106" s="15" t="n">
        <v>100</v>
      </c>
      <c r="H106" s="15" t="n">
        <v>7.43</v>
      </c>
      <c r="I106" s="15" t="n">
        <v>4.44</v>
      </c>
      <c r="J106" s="15" t="n">
        <v>88.78</v>
      </c>
      <c r="K106" s="15" t="n">
        <v>88.78</v>
      </c>
      <c r="L106" s="16" t="n">
        <v>0.1122</v>
      </c>
      <c r="M106" s="16" t="n">
        <v>0.1122</v>
      </c>
      <c r="N106" s="15" t="n">
        <v>11.22</v>
      </c>
      <c r="O106" s="17" t="inlineStr">
        <is>
          <t>PASSED</t>
        </is>
      </c>
      <c r="P106" s="16" t="n">
        <v>0.8878</v>
      </c>
    </row>
    <row r="107">
      <c r="A107" s="12" t="n">
        <v>99</v>
      </c>
      <c r="B107" s="13" t="inlineStr">
        <is>
          <t>Ekstraksi</t>
        </is>
      </c>
      <c r="C107" s="13" t="inlineStr">
        <is>
          <t>google/gemma-4-26b-a4b-it:free</t>
        </is>
      </c>
      <c r="D107" s="14" t="inlineStr">
        <is>
          <t>Sebutkan tiga metode yang umum digunakan untuk mengelola ketidakpastian dalam perencanaan Pemerintah Digital.</t>
        </is>
      </c>
      <c r="E107" s="14" t="inlineStr">
        <is>
          <t>Analisis skenario, simulasi Monte Carlo, dan forecasting.</t>
        </is>
      </c>
      <c r="F107" s="14" t="inlineStr">
        <is>
          <t>Tiga metode yang umum digunakan untuk mengelola ketidakpastian dalam perencanaan Pemerintah Digital adalah:
1. **Scenario Planning (Perencanaan Skenario):** Menyusun berbagai alternatif masa depan (optimis, pesimis, moderat) untuk menyiapkan strategi respons yang fleksibel.
2. **Agile Planning (Perencanaan Agil):** Pendekatan perencanaan iteratif yang memungkinkan penyesuaian cepat terhadap perubahan teknologi dan kebutuhan pengguna melalui siklus pengembangan pendek.
3. **Risk-Based Planning (Perencanaan Berbasis Risiko):** Mengidentifikasi, menganalisis, dan memitigasi potensi hambatan (teknis, regulasi, atau sumber daya) sejak tahap awal perencanaan.</t>
        </is>
      </c>
      <c r="G107" s="15" t="n">
        <v>100</v>
      </c>
      <c r="H107" s="15" t="n">
        <v>7.62</v>
      </c>
      <c r="I107" s="15" t="n">
        <v>4.37</v>
      </c>
      <c r="J107" s="15" t="n">
        <v>87.34</v>
      </c>
      <c r="K107" s="15" t="n">
        <v>87.34</v>
      </c>
      <c r="L107" s="16" t="n">
        <v>0.1266</v>
      </c>
      <c r="M107" s="16" t="n">
        <v>0.1266</v>
      </c>
      <c r="N107" s="15" t="n">
        <v>12.66</v>
      </c>
      <c r="O107" s="17" t="inlineStr">
        <is>
          <t>PASSED</t>
        </is>
      </c>
      <c r="P107" s="16" t="n">
        <v>0.8734</v>
      </c>
    </row>
    <row r="108">
      <c r="A108" s="12" t="n">
        <v>100</v>
      </c>
      <c r="B108" s="13" t="inlineStr">
        <is>
          <t>Faktual</t>
        </is>
      </c>
      <c r="C108" s="13" t="inlineStr">
        <is>
          <t>google/gemma-4-26b-a4b-it:free</t>
        </is>
      </c>
      <c r="D108" s="14" t="inlineStr">
        <is>
          <t>Bagaimana mekanisme tindak lanjut hasil reviu Pemdi dijalankan untuk meningkatkan layanan digital?</t>
        </is>
      </c>
      <c r="E108" s="14" t="inlineStr">
        <is>
          <t>Hasil reviu ditindaklanjuti melalui penerapan perbaikan dan peningkatan layanan digital sesuai pedoman.</t>
        </is>
      </c>
      <c r="F108" s="14" t="inlineStr">
        <is>
          <t>Mekanisme tindak lanjut hasil reviu Pemda dalam kerangka SPBE dilakukan melalui tahapan berikut:
1.- **Penyusunan Rencana Aksi:** Instansi pengelola SPBE menyusun rencana aksi berdasarkan temuan reviu (gap analisis) yang mencakup perbaikan tata kelola, infrastruktur, aplikasi, atau data.
2. **Penetapan Target dan Penanggung Jawab:** Menetapkan lini masa perbaikan (milestone) dan menunjuk unit kerja (SKPD/OPD) yang bertanggung jawab atas setiap butir rekomendasi.
3. **Implementasi Perbaikan:** Eksekusi perbaikan teknis dan manajerial, seperti integrasi aplikasi, penguatan keamanan informasi, atau pembenahan kebijakan (Perkada/Perda).
4. **Monitoring dan Evaluasi (Monev):** Tim koordinasi SPBE melakukan pengawasan berkala terhadap progres rencana aksi untuk memastikan rekomendasi dijalankan sesuai target.
5.- **Pelaporan dan Re-assessment:** Hasil perbaikan dilaporkan kepada pimpinan daerah/pusat sebagai dasar peningkatan nilai indeks SPBE pada siklus reviu berikutnya.
**Inti Strategi:** Mengubah temuan reviu menjadi **Rencana Kerja (Action Plan)** yang terukur guna menutup celah (gap) kematangan layanan digital.</t>
        </is>
      </c>
      <c r="G108" s="15" t="n">
        <v>100</v>
      </c>
      <c r="H108" s="15" t="n">
        <v>15.31</v>
      </c>
      <c r="I108" s="15" t="n">
        <v>4.32</v>
      </c>
      <c r="J108" s="15" t="n">
        <v>86.48999999999999</v>
      </c>
      <c r="K108" s="15" t="n">
        <v>86.48999999999999</v>
      </c>
      <c r="L108" s="16" t="n">
        <v>0.1351</v>
      </c>
      <c r="M108" s="16" t="n">
        <v>0.1351</v>
      </c>
      <c r="N108" s="15" t="n">
        <v>13.51</v>
      </c>
      <c r="O108" s="17" t="inlineStr">
        <is>
          <t>PASSED</t>
        </is>
      </c>
      <c r="P108" s="16" t="n">
        <v>0.8649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2026-07-06T04:05:09Z</dcterms:created>
  <dcterms:modified xsi:type="dcterms:W3CDTF">2026-07-06T04:05:09Z</dcterms:modified>
</cp:coreProperties>
</file>