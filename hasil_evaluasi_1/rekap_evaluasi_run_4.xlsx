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Dashboard" sheetId="1" state="visible" r:id="rId1"/>
    <sheet name="Detail Perbandingan" sheetId="2" state="visible" r:id="rId2"/>
  </sheets>
  <definedNames/>
  <calcPr calcId="124519" fullCalcOnLoad="1"/>
</workbook>
</file>

<file path=xl/styles.xml><?xml version="1.0" encoding="utf-8"?>
<styleSheet xmlns="http://schemas.openxmlformats.org/spreadsheetml/2006/main">
  <numFmts count="2">
    <numFmt numFmtId="164" formatCode="0.00&quot;%&quot;"/>
    <numFmt numFmtId="165" formatCode="0.0000"/>
  </numFmts>
  <fonts count="6">
    <font>
      <name val="Calibri"/>
      <family val="2"/>
      <color theme="1"/>
      <sz val="11"/>
      <scheme val="minor"/>
    </font>
    <font>
      <name val="Calibri"/>
      <b val="1"/>
      <color rgb="001F497D"/>
      <sz val="16"/>
    </font>
    <font>
      <name val="Calibri"/>
      <sz val="11"/>
    </font>
    <font>
      <name val="Calibri"/>
      <b val="1"/>
      <color rgb="001F497D"/>
      <sz val="12"/>
    </font>
    <font>
      <name val="Calibri"/>
      <b val="1"/>
      <color rgb="00FFFFFF"/>
      <sz val="11"/>
    </font>
    <font>
      <name val="Calibri"/>
      <b val="1"/>
      <sz val="11"/>
    </font>
  </fonts>
  <fills count="5">
    <fill>
      <patternFill/>
    </fill>
    <fill>
      <patternFill patternType="gray125"/>
    </fill>
    <fill>
      <patternFill patternType="solid">
        <fgColor rgb="001F497D"/>
        <bgColor rgb="001F497D"/>
      </patternFill>
    </fill>
    <fill>
      <patternFill patternType="solid">
        <fgColor rgb="00E2EFDA"/>
        <bgColor rgb="00E2EFDA"/>
      </patternFill>
    </fill>
    <fill>
      <patternFill patternType="solid">
        <fgColor rgb="00FCE4D6"/>
        <b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xf>
    <xf numFmtId="0" fontId="2" fillId="0" borderId="1" pivotButton="0" quotePrefix="0" xfId="0"/>
    <xf numFmtId="0" fontId="5" fillId="0" borderId="1" pivotButton="0" quotePrefix="0" xfId="0"/>
    <xf numFmtId="0" fontId="5" fillId="3" borderId="1" pivotButton="0" quotePrefix="0" xfId="0"/>
    <xf numFmtId="0" fontId="5" fillId="4" borderId="1" pivotButton="0" quotePrefix="0" xfId="0"/>
    <xf numFmtId="164" fontId="5" fillId="0" borderId="1" pivotButton="0" quotePrefix="0" xfId="0"/>
    <xf numFmtId="2" fontId="5" fillId="0" borderId="1" pivotButton="0" quotePrefix="0" xfId="0"/>
    <xf numFmtId="0" fontId="4"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xf>
    <xf numFmtId="0" fontId="2" fillId="0" borderId="1" applyAlignment="1" pivotButton="0" quotePrefix="0" xfId="0">
      <alignment horizontal="left" vertical="top" wrapText="1"/>
    </xf>
    <xf numFmtId="2" fontId="2" fillId="0" borderId="1" applyAlignment="1" pivotButton="0" quotePrefix="0" xfId="0">
      <alignment horizontal="right" vertical="top"/>
    </xf>
    <xf numFmtId="165" fontId="2" fillId="0" borderId="1" applyAlignment="1" pivotButton="0" quotePrefix="0" xfId="0">
      <alignment horizontal="right" vertical="top"/>
    </xf>
    <xf numFmtId="0" fontId="5" fillId="3" borderId="1" applyAlignment="1" pivotButton="0" quotePrefix="0" xfId="0">
      <alignment horizontal="center" vertical="top"/>
    </xf>
    <xf numFmtId="0" fontId="5"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showGridLines="1" workbookViewId="0">
      <selection activeCell="A1" sqref="A1"/>
    </sheetView>
  </sheetViews>
  <sheetFormatPr baseColWidth="8" defaultRowHeight="15"/>
  <cols>
    <col width="12" customWidth="1" min="1" max="1"/>
    <col width="45" customWidth="1" min="2" max="2"/>
    <col width="53" customWidth="1" min="3" max="3"/>
  </cols>
  <sheetData>
    <row r="1"/>
    <row r="2">
      <c r="B2" s="1" t="inlineStr">
        <is>
          <t>LAPORAN EVALUASI PERFORMA LLM (BASELINE)</t>
        </is>
      </c>
    </row>
    <row r="3">
      <c r="B3" s="2" t="inlineStr">
        <is>
          <t>Nama Pengujian: Skenario 1 - Baseline LLM</t>
        </is>
      </c>
    </row>
    <row r="4">
      <c r="B4" s="2" t="inlineStr">
        <is>
          <t>Terakhir Diperbarui: 2026-07-04 18:45:21</t>
        </is>
      </c>
    </row>
    <row r="5"/>
    <row r="6">
      <c r="B6" s="3" t="inlineStr">
        <is>
          <t>Ringkasan Statistik Utama</t>
        </is>
      </c>
    </row>
    <row r="7">
      <c r="B7" s="4" t="inlineStr">
        <is>
          <t>Metrik Pengujian</t>
        </is>
      </c>
      <c r="C7" s="4" t="inlineStr">
        <is>
          <t>Rata-rata / Total Nilai</t>
        </is>
      </c>
    </row>
    <row r="8">
      <c r="B8" s="5" t="inlineStr">
        <is>
          <t>Total Kasus Uji</t>
        </is>
      </c>
      <c r="C8" s="6" t="n">
        <v>100</v>
      </c>
    </row>
    <row r="9">
      <c r="B9" s="5" t="inlineStr">
        <is>
          <t>Total Passed (&gt;= 0.85)</t>
        </is>
      </c>
      <c r="C9" s="7">
        <f>COUNTIF('Detail Perbandingan'!O9:O108, "PASSED")</f>
        <v/>
      </c>
    </row>
    <row r="10">
      <c r="B10" s="5" t="inlineStr">
        <is>
          <t>Total Failed (&lt; 0.85)</t>
        </is>
      </c>
      <c r="C10" s="8">
        <f>COUNTIF('Detail Perbandingan'!O9:O108, "FAILED")</f>
        <v/>
      </c>
    </row>
    <row r="11">
      <c r="B11" s="5" t="inlineStr">
        <is>
          <t>Rata-rata Accuracy (%)</t>
        </is>
      </c>
      <c r="C11" s="9">
        <f>AVERAGE('Detail Perbandingan'!G9:G108)</f>
        <v/>
      </c>
    </row>
    <row r="12">
      <c r="B12" s="5" t="inlineStr">
        <is>
          <t>Rata-rata Response Time (s)</t>
        </is>
      </c>
      <c r="C12" s="10">
        <f>AVERAGE('Detail Perbandingan'!H9:H108)</f>
        <v/>
      </c>
    </row>
    <row r="13">
      <c r="B13" s="5" t="inlineStr">
        <is>
          <t>Rata-rata G-Eval (1-5)</t>
        </is>
      </c>
      <c r="C13" s="10">
        <f>AVERAGE('Detail Perbandingan'!I9:I108)</f>
        <v/>
      </c>
    </row>
    <row r="14">
      <c r="B14" s="5" t="inlineStr">
        <is>
          <t>Rata-rata AR Score</t>
        </is>
      </c>
      <c r="C14" s="10">
        <f>AVERAGE('Detail Perbandingan'!J9:J108)</f>
        <v/>
      </c>
    </row>
    <row r="15">
      <c r="B15" s="5" t="inlineStr">
        <is>
          <t>Rata-rata Fact-Checking (%)</t>
        </is>
      </c>
      <c r="C15" s="9">
        <f>AVERAGE('Detail Perbandingan'!K9:K108)</f>
        <v/>
      </c>
    </row>
    <row r="16">
      <c r="B16" s="5" t="inlineStr">
        <is>
          <t>Rata-rata MAE</t>
        </is>
      </c>
      <c r="C16" s="10">
        <f>AVERAGE('Detail Perbandingan'!L9:L108)</f>
        <v/>
      </c>
    </row>
    <row r="17">
      <c r="B17" s="5" t="inlineStr">
        <is>
          <t>Rata-rata RMSE</t>
        </is>
      </c>
      <c r="C17" s="10">
        <f>AVERAGE('Detail Perbandingan'!M9:M108)</f>
        <v/>
      </c>
    </row>
    <row r="18">
      <c r="B18" s="5" t="inlineStr">
        <is>
          <t>Rata-rata MAPE (%)</t>
        </is>
      </c>
      <c r="C18" s="9">
        <f>AVERAGE('Detail Perbandingan'!N9:N108)</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8"/>
  <sheetViews>
    <sheetView showGridLines="1" workbookViewId="0">
      <pane ySplit="8" topLeftCell="A9" activePane="bottomLeft" state="frozen"/>
      <selection pane="bottomLeft" activeCell="A1" sqref="A1"/>
    </sheetView>
  </sheetViews>
  <sheetFormatPr baseColWidth="8" defaultRowHeight="15"/>
  <cols>
    <col width="10" customWidth="1" min="1" max="1"/>
    <col width="14" customWidth="1" min="2" max="2"/>
    <col width="28" customWidth="1" min="3" max="3"/>
    <col width="35" customWidth="1" min="4" max="4"/>
    <col width="40" customWidth="1" min="5" max="5"/>
    <col width="45" customWidth="1" min="6" max="6"/>
    <col width="25" customWidth="1" min="7" max="7"/>
    <col width="21" customWidth="1" min="8" max="8"/>
    <col width="16" customWidth="1" min="9" max="9"/>
    <col width="12" customWidth="1" min="10" max="10"/>
    <col width="21" customWidth="1" min="11" max="11"/>
    <col width="12" customWidth="1" min="12" max="12"/>
    <col width="12" customWidth="1" min="13" max="13"/>
    <col width="12" customWidth="1" min="14" max="14"/>
    <col width="19" customWidth="1" min="15" max="15"/>
    <col width="20" customWidth="1" min="16" max="16"/>
  </cols>
  <sheetData>
    <row r="1"/>
    <row r="2">
      <c r="A2" s="1" t="inlineStr">
        <is>
          <t>DATA DETAIL HASIL EVALUASI PER NOMOR SOAL</t>
        </is>
      </c>
    </row>
    <row r="3"/>
    <row r="4"/>
    <row r="5"/>
    <row r="6"/>
    <row r="7"/>
    <row r="8">
      <c r="A8" s="11" t="inlineStr">
        <is>
          <t>No Soal</t>
        </is>
      </c>
      <c r="B8" s="11" t="inlineStr">
        <is>
          <t>Tipe Query</t>
        </is>
      </c>
      <c r="C8" s="11" t="inlineStr">
        <is>
          <t>Model LLM</t>
        </is>
      </c>
      <c r="D8" s="11" t="inlineStr">
        <is>
          <t>Query</t>
        </is>
      </c>
      <c r="E8" s="11" t="inlineStr">
        <is>
          <t>Expected Output</t>
        </is>
      </c>
      <c r="F8" s="11" t="inlineStr">
        <is>
          <t>Hasil (Actual Output)</t>
        </is>
      </c>
      <c r="G8" s="11" t="inlineStr">
        <is>
          <t>Pipeline Accuracy (%)</t>
        </is>
      </c>
      <c r="H8" s="11" t="inlineStr">
        <is>
          <t>Response Time (s)</t>
        </is>
      </c>
      <c r="I8" s="11" t="inlineStr">
        <is>
          <t>G-Eval (1-5)</t>
        </is>
      </c>
      <c r="J8" s="11" t="inlineStr">
        <is>
          <t>AR Score</t>
        </is>
      </c>
      <c r="K8" s="11" t="inlineStr">
        <is>
          <t>Fact-Checking (%)</t>
        </is>
      </c>
      <c r="L8" s="11" t="inlineStr">
        <is>
          <t>MAE</t>
        </is>
      </c>
      <c r="M8" s="11" t="inlineStr">
        <is>
          <t>RMSE</t>
        </is>
      </c>
      <c r="N8" s="11" t="inlineStr">
        <is>
          <t>MAPE (%)</t>
        </is>
      </c>
      <c r="O8" s="11" t="inlineStr">
        <is>
          <t>Status Evaluasi</t>
        </is>
      </c>
      <c r="P8" s="11" t="inlineStr">
        <is>
          <t>Skor Aktual (E5)</t>
        </is>
      </c>
    </row>
    <row r="9">
      <c r="A9" s="12" t="n">
        <v>1</v>
      </c>
      <c r="B9" s="13" t="inlineStr">
        <is>
          <t>Faktual</t>
        </is>
      </c>
      <c r="C9" s="13" t="inlineStr">
        <is>
          <t>google/gemma-4-26b-a4b-it:free</t>
        </is>
      </c>
      <c r="D9" s="14" t="inlineStr">
        <is>
          <t>Apa kepanjangan dari SPBE dalam tata kelola pemerintahan Indonesia?</t>
        </is>
      </c>
      <c r="E9" s="14" t="inlineStr">
        <is>
          <t>Sistem Pemerintahan Berbasis Elektronik.</t>
        </is>
      </c>
      <c r="F9" s="14" t="inlineStr">
        <is>
          <t>**Sistem Pemerintahan Berbasis Elektronik.**</t>
        </is>
      </c>
      <c r="G9" s="15" t="n">
        <v>100</v>
      </c>
      <c r="H9" s="15" t="n">
        <v>11.24</v>
      </c>
      <c r="I9" s="15" t="n">
        <v>4.79</v>
      </c>
      <c r="J9" s="15" t="n">
        <v>95.8</v>
      </c>
      <c r="K9" s="15" t="n">
        <v>95.8</v>
      </c>
      <c r="L9" s="16" t="n">
        <v>0.042</v>
      </c>
      <c r="M9" s="16" t="n">
        <v>0.042</v>
      </c>
      <c r="N9" s="15" t="n">
        <v>4.2</v>
      </c>
      <c r="O9" s="17" t="inlineStr">
        <is>
          <t>PASSED</t>
        </is>
      </c>
      <c r="P9" s="16" t="n">
        <v>0.958</v>
      </c>
    </row>
    <row r="10">
      <c r="A10" s="12" t="n">
        <v>2</v>
      </c>
      <c r="B10" s="13" t="inlineStr">
        <is>
          <t>Faktual</t>
        </is>
      </c>
      <c r="C10" s="13" t="inlineStr">
        <is>
          <t>google/gemma-4-26b-a4b-it:free</t>
        </is>
      </c>
      <c r="D10" s="14" t="inlineStr">
        <is>
          <t>Secara umum, apa yang dimaksud dengan transformasi digital pemerintah?</t>
        </is>
      </c>
      <c r="E10" s="14" t="inlineStr">
        <is>
          <t>Pemanfaatan data dan teknologi digital untuk meningkatkan kualitas layanan dan tata kelola pemerintahan.</t>
        </is>
      </c>
      <c r="F10" s="14" t="inlineStr">
        <is>
          <t>Transformasi digital pemerintah adalah proses perubahan fundamental dalam cara pemerintah bekerja melalui pemanfaatan teknologi digital untuk meningkatkan kualitas layanan publik, efisiotensi proses bisnis internal, dan penguatan tata kelola pemerintahan yang lebih responsif, transparan, serta akuntabel.
Dalam konteks SPBE, ini bukan sekadar digitalisasi dokumen (mengubah kertas ke PDF), melainkan integrasi proses bisnis, data, dan aplikasi yang terhubung secara nasional (interoperabilitas) untuk menciptakan ekosistem pemerintahan digital yang terpadu.</t>
        </is>
      </c>
      <c r="G10" s="15" t="n">
        <v>100</v>
      </c>
      <c r="H10" s="15" t="n">
        <v>10.59</v>
      </c>
      <c r="I10" s="15" t="n">
        <v>4.37</v>
      </c>
      <c r="J10" s="15" t="n">
        <v>87.34</v>
      </c>
      <c r="K10" s="15" t="n">
        <v>87.34</v>
      </c>
      <c r="L10" s="16" t="n">
        <v>0.1266</v>
      </c>
      <c r="M10" s="16" t="n">
        <v>0.1266</v>
      </c>
      <c r="N10" s="15" t="n">
        <v>12.66</v>
      </c>
      <c r="O10" s="17" t="inlineStr">
        <is>
          <t>PASSED</t>
        </is>
      </c>
      <c r="P10" s="16" t="n">
        <v>0.8734</v>
      </c>
    </row>
    <row r="11">
      <c r="A11" s="12" t="n">
        <v>3</v>
      </c>
      <c r="B11" s="13" t="inlineStr">
        <is>
          <t>Faktual</t>
        </is>
      </c>
      <c r="C11" s="13" t="inlineStr">
        <is>
          <t>google/gemma-4-26b-a4b-it:free</t>
        </is>
      </c>
      <c r="D11" s="14" t="inlineStr">
        <is>
          <t>Apa tujuan utama dari kebijakan Satu Data Indonesia (SDI)?</t>
        </is>
      </c>
      <c r="E11" s="14" t="inlineStr">
        <is>
          <t>Mewujudkan data pemerintah yang akurat, mutakhir, terpadu, dan dapat diakses sebagai dasar perencanaan dan pengambilan keputusan.</t>
        </is>
      </c>
      <c r="F11" s="14" t="inlineStr">
        <is>
          <t>Tujuan utama kebijakan **Satu Data Indonesia (SDI)** adalah:
1. **Mewujudkan tata kelola data pemerintah yang berkualitas**, akurat, mutakhir, terpadu, dan dapat dipertanggungjawabkan.
2. **Menjamin interoperabilitas data** antar instansi pemerintah melalui penggunaan standar data, metadata, dan kode referensi/data yang sama.
3. **Mendukung pengambilan kebijakan berbasis data** (*data-driven policy*) melalui penyediaan data yang mudah diakses dan digunakan untuk pembangunan nasional.</t>
        </is>
      </c>
      <c r="G11" s="15" t="n">
        <v>100</v>
      </c>
      <c r="H11" s="15" t="n">
        <v>4.83</v>
      </c>
      <c r="I11" s="15" t="n">
        <v>4.41</v>
      </c>
      <c r="J11" s="15" t="n">
        <v>88.2</v>
      </c>
      <c r="K11" s="15" t="n">
        <v>88.2</v>
      </c>
      <c r="L11" s="16" t="n">
        <v>0.118</v>
      </c>
      <c r="M11" s="16" t="n">
        <v>0.118</v>
      </c>
      <c r="N11" s="15" t="n">
        <v>11.8</v>
      </c>
      <c r="O11" s="17" t="inlineStr">
        <is>
          <t>PASSED</t>
        </is>
      </c>
      <c r="P11" s="16" t="n">
        <v>0.882</v>
      </c>
    </row>
    <row r="12">
      <c r="A12" s="12" t="n">
        <v>4</v>
      </c>
      <c r="B12" s="13" t="inlineStr">
        <is>
          <t>Ekstraksi</t>
        </is>
      </c>
      <c r="C12" s="13" t="inlineStr">
        <is>
          <t>google/gemma-4-26b-a4b-it:free</t>
        </is>
      </c>
      <c r="D12" s="14" t="inlineStr">
        <is>
          <t>Sebutkan tiga manfaat utama penerapan Pemerintah Digital bagi masyarakat.</t>
        </is>
      </c>
      <c r="E12" s="14" t="inlineStr">
        <is>
          <t>Akses layanan lebih cepat, peningkatan transparansi, dan kemudahan memperoleh layanan publik.</t>
        </is>
      </c>
      <c r="F12" s="14" t="inlineStr">
        <is>
          <t>Tiga manfaat utama penerapan Pemerintah Digital bagi masyarakat adalah:
1. **Kemudahan Akses Layanan:** Masyarakat dapat mengakses layanan publik secara cepat, mudah, dan kapan saja melalui platform digital tanpa kendala jarak dan waktu.
2. **Peningkatan Transparansi:** Proses birokrasi menjadi lebih terbuka, sehingga masyarakat dapat memantau proses layanan dan meminimalisir potensi praktik pungutan liar (pungli).
3. **Efisiensi dan Kecepatan:** Pemangkasan prosedur birokrasi yang berbelit-belit sehingga waktu penyelesaian layanan menjadi lebih singkat dan akurat.</t>
        </is>
      </c>
      <c r="G12" s="15" t="n">
        <v>100</v>
      </c>
      <c r="H12" s="15" t="n">
        <v>14.96</v>
      </c>
      <c r="I12" s="15" t="n">
        <v>4.43</v>
      </c>
      <c r="J12" s="15" t="n">
        <v>88.53</v>
      </c>
      <c r="K12" s="15" t="n">
        <v>88.53</v>
      </c>
      <c r="L12" s="16" t="n">
        <v>0.1147</v>
      </c>
      <c r="M12" s="16" t="n">
        <v>0.1147</v>
      </c>
      <c r="N12" s="15" t="n">
        <v>11.47</v>
      </c>
      <c r="O12" s="17" t="inlineStr">
        <is>
          <t>PASSED</t>
        </is>
      </c>
      <c r="P12" s="16" t="n">
        <v>0.8853</v>
      </c>
    </row>
    <row r="13">
      <c r="A13" s="12" t="n">
        <v>5</v>
      </c>
      <c r="B13" s="13" t="inlineStr">
        <is>
          <t>Ekstraksi</t>
        </is>
      </c>
      <c r="C13" s="13" t="inlineStr">
        <is>
          <t>google/gemma-4-26b-a4b-it:free</t>
        </is>
      </c>
      <c r="D13" s="14" t="inlineStr">
        <is>
          <t>Sebutkan tiga karakteristik utama digital government.</t>
        </is>
      </c>
      <c r="E13" s="14" t="inlineStr">
        <is>
          <t>Keterpaduan layanan, pemanfaatan data, dan orientasi pada kebutuhan pengguna.</t>
        </is>
      </c>
      <c r="F13" s="14" t="inlineStr">
        <is>
          <t>Tiga karakteristik utama *digital government* adalah:
1.  **Integrasi (Interoperabilitas):** Menghubungkan berbagai sistem, data, dan proses bisnis antar instansi pemerintah agar dapat bekerja secara selaras dan terpadu.
2.  **Berorientasi pada Pengguna (*User-Centric*):** Menempatkan kebutuhan masyarakat sebagai pusat pengembangan layanan guna meningkatkan kemudahan akses dan kualitas pengalaman pengguna.
3.  **Berbasis Data (*Data-Driven*):** Menggunakan data yang akurat dan terintegrasi sebagai dasar pengambilan kebijakan, perencanaan, dan pemberian layanan publik.</t>
        </is>
      </c>
      <c r="G13" s="15" t="n">
        <v>100</v>
      </c>
      <c r="H13" s="15" t="n">
        <v>13.64</v>
      </c>
      <c r="I13" s="15" t="n">
        <v>4.33</v>
      </c>
      <c r="J13" s="15" t="n">
        <v>86.66</v>
      </c>
      <c r="K13" s="15" t="n">
        <v>86.66</v>
      </c>
      <c r="L13" s="16" t="n">
        <v>0.1334</v>
      </c>
      <c r="M13" s="16" t="n">
        <v>0.1334</v>
      </c>
      <c r="N13" s="15" t="n">
        <v>13.34</v>
      </c>
      <c r="O13" s="17" t="inlineStr">
        <is>
          <t>PASSED</t>
        </is>
      </c>
      <c r="P13" s="16" t="n">
        <v>0.8666</v>
      </c>
    </row>
    <row r="14">
      <c r="A14" s="12" t="n">
        <v>6</v>
      </c>
      <c r="B14" s="13" t="inlineStr">
        <is>
          <t>Faktual</t>
        </is>
      </c>
      <c r="C14" s="13" t="inlineStr">
        <is>
          <t>google/gemma-4-26b-a4b-it:free</t>
        </is>
      </c>
      <c r="D14" s="14" t="inlineStr">
        <is>
          <t>Apa manfaat penerapan tata kelola data dalam pemerintahan digital?</t>
        </is>
      </c>
      <c r="E14" s="14" t="inlineStr">
        <is>
          <t>Memastikan data akurat, terintegrasi, aman, dan dapat dimanfaatkan untuk mendukung layanan serta pengambilan keputusan.</t>
        </is>
      </c>
      <c r="F14" s="14" t="inlineStr">
        <is>
          <t>Manfaat penerapan tata kelola data dalam pemerintahan digital adalah:
1.  **Kualitas Data Terjamin:** Menjamin data akurat, mutakhir, konsisten, dan dapat dipertanggungjawabkan (integritas data).
2.  **Interoperabilitas Data:** Memungkinkan pertukaran data antar instansi pemerintah secara lancar (menghilangkan silo data).
3.  **Pengambilan Keputusan Berbasis Data (*Data-Driven Decision Making*):** Menyediakan basis data yang valid untuk kebijakan publik yang lebih tepat sasaran.
4.y**Efisiasi Layanan Publik:** Mempercepat proses layanan melalui integrasi data, sehingga masyarakat tidak perlu memasukkan data yang sama berulang kali (prinsai *once-only*).
5.**Keamanan dan Privasi:** Melindungi data negara dan data pribadi masyarakat dari risiko kebocoran dan penyalahgunaan.
6.**Kepatuhan Regulasi:** Memastikan pengelolaan data sesuai dengan mandat Perpres No. 95 Tahun 2018 (SPBE) dan UU Pelindungan Data Pribadi (PDP).</t>
        </is>
      </c>
      <c r="G14" s="15" t="n">
        <v>100</v>
      </c>
      <c r="H14" s="15" t="n">
        <v>26.73</v>
      </c>
      <c r="I14" s="15" t="n">
        <v>4.26</v>
      </c>
      <c r="J14" s="15" t="n">
        <v>85.17</v>
      </c>
      <c r="K14" s="15" t="n">
        <v>85.17</v>
      </c>
      <c r="L14" s="16" t="n">
        <v>0.1483</v>
      </c>
      <c r="M14" s="16" t="n">
        <v>0.1483</v>
      </c>
      <c r="N14" s="15" t="n">
        <v>14.83</v>
      </c>
      <c r="O14" s="17" t="inlineStr">
        <is>
          <t>PASSED</t>
        </is>
      </c>
      <c r="P14" s="16" t="n">
        <v>0.8517</v>
      </c>
    </row>
    <row r="15">
      <c r="A15" s="12" t="n">
        <v>7</v>
      </c>
      <c r="B15" s="13" t="inlineStr">
        <is>
          <t>Ekstraksi</t>
        </is>
      </c>
      <c r="C15" s="13" t="inlineStr">
        <is>
          <t>google/gemma-4-26b-a4b-it:free</t>
        </is>
      </c>
      <c r="D15" s="14" t="inlineStr">
        <is>
          <t>Sebutkan tiga tujuan utama keamanan siber dalam layanan pemerintah digital.</t>
        </is>
      </c>
      <c r="E15" s="14" t="inlineStr">
        <is>
          <t>Melindungi kerahasiaan data, menjaga integritas informasi, dan memastikan ketersediaan layanan.</t>
        </is>
      </c>
      <c r="F15" s="14" t="inlineStr">
        <is>
          <t>Tiga tujuan utama keamanan siber dalam layanan pemerintah digital adalah:
1. **Kerahasiaan (*Confidentiality*):** Menjamin data pemerintah dan masyarakat hanya dapat diakses oleh pihak yang berwenang.
2. **Integritas (*Integrity*):** Menjamin data dan informasi tetap akurat, utuh, dan tidak dimodifikasi oleh pihak yang tidak sah.
3. **Ketersediaan (*Availability*):** Menjamin layanan digital dan data dapat diakses kapan pun dibutuhkan oleh pengguna yang berwenang.</t>
        </is>
      </c>
      <c r="G15" s="15" t="n">
        <v>100</v>
      </c>
      <c r="H15" s="15" t="n">
        <v>13.38</v>
      </c>
      <c r="I15" s="15" t="n">
        <v>4.47</v>
      </c>
      <c r="J15" s="15" t="n">
        <v>89.39</v>
      </c>
      <c r="K15" s="15" t="n">
        <v>89.39</v>
      </c>
      <c r="L15" s="16" t="n">
        <v>0.1061</v>
      </c>
      <c r="M15" s="16" t="n">
        <v>0.1061</v>
      </c>
      <c r="N15" s="15" t="n">
        <v>10.61</v>
      </c>
      <c r="O15" s="17" t="inlineStr">
        <is>
          <t>PASSED</t>
        </is>
      </c>
      <c r="P15" s="16" t="n">
        <v>0.8939</v>
      </c>
    </row>
    <row r="16">
      <c r="A16" s="12" t="n">
        <v>8</v>
      </c>
      <c r="B16" s="13" t="inlineStr">
        <is>
          <t>Faktual</t>
        </is>
      </c>
      <c r="C16" s="13" t="inlineStr">
        <is>
          <t>google/gemma-4-26b-a4b-it:free</t>
        </is>
      </c>
      <c r="D16" s="14" t="inlineStr">
        <is>
          <t>Apa fungsi sebuah portal layanan publik nasional bagi masyarakat?</t>
        </is>
      </c>
      <c r="E16" s="14" t="inlineStr">
        <is>
          <t>Mengonsolidasikan berbagai layanan pemerintah dalam satu titik akses agar mudah, cepat, dan terpadu.</t>
        </is>
      </c>
      <c r="F16" s="14" t="inlineStr">
        <is>
          <t>Fungsi utama portal layanan publik nasional bagi masyarakat adalah:
1.  **Pintu Masuk Tunggal (*Single Entry Point*):** Menyediakan satu titik akses terpadu untuk mengakses berbagai layanan pemerintah tanpa harus mengunjungi banyak situs web kementerian/lembaga yang berbeda.
2.- **Penyederhanaan Akses:** Mempermudah masyarakat dalam mencari dan menggunakan layanan publik secara cepat, mudah, dan efisien dalam satu platform.
3.**Integrasi Layanan:** Menghubungkan berbagai jenis layanan pemerintah (pusat maupun daerah) sehingga masyarakat mendapatkan pengalaman pengguna (*user experience*) yang konsisten.
4.**Transparansi dan Akuntabilitas:** Memberikan kepastian informasi mengenai prosedur, persyaratan, dan status pengajuan layanan secara terbuka.</t>
        </is>
      </c>
      <c r="G16" s="15" t="n">
        <v>100</v>
      </c>
      <c r="H16" s="15" t="n">
        <v>25.96</v>
      </c>
      <c r="I16" s="15" t="n">
        <v>4.34</v>
      </c>
      <c r="J16" s="15" t="n">
        <v>86.84999999999999</v>
      </c>
      <c r="K16" s="15" t="n">
        <v>86.84999999999999</v>
      </c>
      <c r="L16" s="16" t="n">
        <v>0.1315</v>
      </c>
      <c r="M16" s="16" t="n">
        <v>0.1315</v>
      </c>
      <c r="N16" s="15" t="n">
        <v>13.15</v>
      </c>
      <c r="O16" s="17" t="inlineStr">
        <is>
          <t>PASSED</t>
        </is>
      </c>
      <c r="P16" s="16" t="n">
        <v>0.8685</v>
      </c>
    </row>
    <row r="17">
      <c r="A17" s="12" t="n">
        <v>9</v>
      </c>
      <c r="B17" s="13" t="inlineStr">
        <is>
          <t>Faktual</t>
        </is>
      </c>
      <c r="C17" s="13" t="inlineStr">
        <is>
          <t>google/gemma-4-26b-a4b-it:free</t>
        </is>
      </c>
      <c r="D17" s="14" t="inlineStr">
        <is>
          <t>Jelaskan secara umum apa itu RAG (Retrieval-Augmented Generation) pada sistem AI. (Mengapa integrasi layanan digital penting bagi masyarakat?)</t>
        </is>
      </c>
      <c r="E17" s="14" t="inlineStr">
        <is>
          <t>Mempermudah akses layanan, mengurangi duplikasi proses, dan meningkatkan efisiensi pelayanan.</t>
        </is>
      </c>
      <c r="F17" s="14" t="inlineStr">
        <is>
          <t>**RAG (Retrieval-Augmented Generation)** adalah teknik dalam sistem AI yang menggabungkan kemampuan model bahasa besar (LLM) dengan mekanisme pengambilan data dari sumber eksternal yang tepercaya (seperti database atau dokumen spesifik).
**Cara Kerja Singkat:**
1. **Retrieval:** Saat menerima pertanyaan, AI mencari informasi relevan dari basis data eksternal.
2. **Augmentation:** Informasi tersebut ditambahkan ke dalam perintah (*prompt*) pengguna.
3. **Generation:** AI menghasilkan jawaban yang tidak hanya cerdas, tetapi juga akurat dan berbasis data nyata (mengurangi risiko halusinasi AI).
---
**Mengapa integrasi layanan digital penting bagi masyarakat?**
Dalam konteks SPBE, integrasi layanan digital penting karena:
1. **Efisiensi:** Menghilangkan silo data sehingga masyarakat tidak perlu memasukkan data yang sama berulang kali (*Once-Only Principle*).
2. **Kemudahan Akses:** Menciptakan pengalaman pengguna yang mulus (*seamless*) melalui satu pintu layanan (Portal Nasional/Daerah).
3. **Kecepatan:** Mempercepat proses birokrasi dan pengambilan keputusan berbasis data secara *real-time*.
4. **Transparansi:** Memudahkan pengawasan dan pelacakan status layanan oleh masyarakat.</t>
        </is>
      </c>
      <c r="G17" s="15" t="n">
        <v>84.11</v>
      </c>
      <c r="H17" s="15" t="n">
        <v>8.85</v>
      </c>
      <c r="I17" s="15" t="n">
        <v>4.21</v>
      </c>
      <c r="J17" s="15" t="n">
        <v>84.11</v>
      </c>
      <c r="K17" s="15" t="n">
        <v>84.11</v>
      </c>
      <c r="L17" s="16" t="n">
        <v>0.1589</v>
      </c>
      <c r="M17" s="16" t="n">
        <v>0.1589</v>
      </c>
      <c r="N17" s="15" t="n">
        <v>15.89</v>
      </c>
      <c r="O17" s="18" t="inlineStr">
        <is>
          <t>FAILED</t>
        </is>
      </c>
      <c r="P17" s="16" t="n">
        <v>0.8411</v>
      </c>
    </row>
    <row r="18">
      <c r="A18" s="12" t="n">
        <v>10</v>
      </c>
      <c r="B18" s="13" t="inlineStr">
        <is>
          <t>Faktual</t>
        </is>
      </c>
      <c r="C18" s="13" t="inlineStr">
        <is>
          <t>google/gemma-4-26b-a4b-it:free</t>
        </is>
      </c>
      <c r="D18" s="14" t="inlineStr">
        <is>
          <t>Apa yang dimaksud dengan pelindungan data pribadi (PDP)?</t>
        </is>
      </c>
      <c r="E18" s="14" t="inlineStr">
        <is>
          <t>Upaya tata kelola dan teknis untuk melindungi data pribadi sepanjang siklus pemrosesannya sesuai regulasi.</t>
        </is>
      </c>
      <c r="F18" s="14" t="inlineStr">
        <is>
          <t>**Pelindungan Data Pribadi (PDP)** adalah segala upaya untuk melindungi data pribadi dari penggunaan yang tidak sah, akses ilegal, atau kebocoran, guna menjamin hak konstitusional individu atas privasi dan keamanan datanya.
Dalam konteks tata kelola di Indonesia, hal ini diatur dalam:
1. **UU No. 27 Tahun 2022 tentang Pelindungan Data Pribadi (UU PDP):** Menetapkan standar pengelolaan data, hak subjek data, dan kewajiban pengendali serta prosesor data.
2. **Kerangka SPBE:** Menjadi bagian integral dari aspek keamanan informasi dan tata kelola data untuk memastikan integritas, ketersediaan, dan kerahasiaan data dalam ekosistem digital pemerintah.</t>
        </is>
      </c>
      <c r="G18" s="15" t="n">
        <v>100</v>
      </c>
      <c r="H18" s="15" t="n">
        <v>6.08</v>
      </c>
      <c r="I18" s="15" t="n">
        <v>4.31</v>
      </c>
      <c r="J18" s="15" t="n">
        <v>86.12</v>
      </c>
      <c r="K18" s="15" t="n">
        <v>86.12</v>
      </c>
      <c r="L18" s="16" t="n">
        <v>0.1388</v>
      </c>
      <c r="M18" s="16" t="n">
        <v>0.1388</v>
      </c>
      <c r="N18" s="15" t="n">
        <v>13.88</v>
      </c>
      <c r="O18" s="17" t="inlineStr">
        <is>
          <t>PASSED</t>
        </is>
      </c>
      <c r="P18" s="16" t="n">
        <v>0.8612</v>
      </c>
    </row>
    <row r="19">
      <c r="A19" s="12" t="n">
        <v>11</v>
      </c>
      <c r="B19" s="13" t="inlineStr">
        <is>
          <t>Evaluatif</t>
        </is>
      </c>
      <c r="C19" s="13" t="inlineStr">
        <is>
          <t>google/gemma-4-26b-a4b-it:free</t>
        </is>
      </c>
      <c r="D19" s="14" t="inlineStr">
        <is>
          <t>Mengapa kepuasan pengguna menjadi tolok ukur penting dalam layanan digital?</t>
        </is>
      </c>
      <c r="E19" s="14" t="inlineStr">
        <is>
          <t>Karena keberhasilan layanan akhirnya diukur dari manfaat dan pengalaman nyata pengguna, bukan sekadar ketersediaan teknologi.</t>
        </is>
      </c>
      <c r="F19" s="14" t="inlineStr">
        <is>
          <t>Kepuasan pengguna menjadi tolok ukur penting dalam layanan digital karena:
1.  **Indikator Keberhasilan Layanan:** Menunjukkan apakah layanan digital tersebut telah menjawab kebutuhan riil masyarakat/pengguna (efektivitas).
2.- **Evaluasi Kualitas Layanan:** Menjadi parameter untuk mengukur aspek kemudahan penggunaan (*usability*), kecepatan, dan keandalan sistem.
3.**Dasar Perbaikan Berkelanjutan:** Hasil umpan balik digunakan sebagai basis data untuk melakukan perbaikan fitur dan proses bisnis (iterasi).
4.**Pendorong Adopsi Digital:** Kepuasan yang tinggi meningkatkan kepercayaan publik (*trust*), yang secara langsung mendorong tingkat penggunaan (*adoption rate*) layanan digital pemerintah.
5.**Efisiensi Anggaran:** Memastikan investasi teknologi informasi yang dilakukan pemerintah tepat guna dan memberikan nilai manfaat (*value for money*).</t>
        </is>
      </c>
      <c r="G19" s="15" t="n">
        <v>100</v>
      </c>
      <c r="H19" s="15" t="n">
        <v>19.68</v>
      </c>
      <c r="I19" s="15" t="n">
        <v>4.3</v>
      </c>
      <c r="J19" s="15" t="n">
        <v>86.09999999999999</v>
      </c>
      <c r="K19" s="15" t="n">
        <v>86.09999999999999</v>
      </c>
      <c r="L19" s="16" t="n">
        <v>0.139</v>
      </c>
      <c r="M19" s="16" t="n">
        <v>0.139</v>
      </c>
      <c r="N19" s="15" t="n">
        <v>13.9</v>
      </c>
      <c r="O19" s="17" t="inlineStr">
        <is>
          <t>PASSED</t>
        </is>
      </c>
      <c r="P19" s="16" t="n">
        <v>0.861</v>
      </c>
    </row>
    <row r="20">
      <c r="A20" s="12" t="n">
        <v>12</v>
      </c>
      <c r="B20" s="13" t="inlineStr">
        <is>
          <t>Faktual</t>
        </is>
      </c>
      <c r="C20" s="13" t="inlineStr">
        <is>
          <t>google/gemma-4-26b-a4b-it:free</t>
        </is>
      </c>
      <c r="D20" s="14" t="inlineStr">
        <is>
          <t>Apa peran komputasi awan (cloud) dalam infrastruktur pemerintah modern?</t>
        </is>
      </c>
      <c r="E20" s="14" t="inlineStr">
        <is>
          <t>Menyediakan sumber daya komputasi yang elastis, efisien, dan terkonsolidasi untuk layanan digital.</t>
        </is>
      </c>
      <c r="F20" s="14" t="inlineStr">
        <is>
          <t>Dalam infrastruktur pemerintah modern, peran komputasi awan (*cloud computing*) adalah sebagai **penyedia infrastruktur teknologi yang terpusat, fleksibel, dan efisien** untuk mendukung digitalisasi layanan publik.
Secara spesifik, perannya mencakup:
1.  **Konsolidasi Infrastruktur:** Menghilangkan silo data dan infrastruktur antar instansi dengan mengintegrasikan sumber daya ke dalam Pusat Data Nasional (PDN).
2.  **Skalabilitas &amp; Agilitas:** Memungkinkan pemerintah menambah atau mengurangi kapasitas komputasi (penyimpanan dan pemrosesan) secara cepat sesuai kebutuhan layanan tanpa investasi perangkat keras fisik yang besar di awal.
3.  **Efisiensi Anggaran:** Mengubah model belanja modal (*CAPEX*) menjadi belanja operasional (*OPEX*), sehingga mengurangi pemborosan pengadaan perangkat keras yang tidak terpakai.
4.  **Peningkatan Keamanan &amp; Keandalan:** Memfasilitasi penerapan standar keamanan siber yang seragam, manajemen *backup*, dan *disaster recovery* yang lebih terjamin dibandingkan pengelolaan mandiri secara lokal.
5.  **Interoperabilitas:** Mempermudah pertukaran data antar instansi pemerintah untuk mendukung integrasi sistem dalam ekosistem SPB Nasional.</t>
        </is>
      </c>
      <c r="G20" s="15" t="n">
        <v>100</v>
      </c>
      <c r="H20" s="15" t="n">
        <v>7.8</v>
      </c>
      <c r="I20" s="15" t="n">
        <v>4.34</v>
      </c>
      <c r="J20" s="15" t="n">
        <v>86.86</v>
      </c>
      <c r="K20" s="15" t="n">
        <v>86.86</v>
      </c>
      <c r="L20" s="16" t="n">
        <v>0.1314</v>
      </c>
      <c r="M20" s="16" t="n">
        <v>0.1314</v>
      </c>
      <c r="N20" s="15" t="n">
        <v>13.14</v>
      </c>
      <c r="O20" s="17" t="inlineStr">
        <is>
          <t>PASSED</t>
        </is>
      </c>
      <c r="P20" s="16" t="n">
        <v>0.8686</v>
      </c>
    </row>
    <row r="21">
      <c r="A21" s="12" t="n">
        <v>13</v>
      </c>
      <c r="B21" s="13" t="inlineStr">
        <is>
          <t>Ekstraksi</t>
        </is>
      </c>
      <c r="C21" s="13" t="inlineStr">
        <is>
          <t>google/gemma-4-26b-a4b-it:free</t>
        </is>
      </c>
      <c r="D21" s="14" t="inlineStr">
        <is>
          <t>Apa tujuan dilakukannya evaluasi kinerja pemerintah digital?</t>
        </is>
      </c>
      <c r="E21" s="14" t="inlineStr">
        <is>
          <t>Mengukur tingkat kematangan dan efektivitas penerapan pemerintah digital untuk perbaikan berkelanjutan</t>
        </is>
      </c>
      <c r="F21" s="14" t="inlineStr">
        <is>
          <t>Tujuan evaluasi kinerja pemerintah digital (SPBE) adalah:
1.  **Mengukur tingkat kematangan:** Menilai sejauh mana implementasi SPBE telah berjalan sesuai standar yang ditetapkan.
2.  **Menjamin efektivitas dan efisiensi:** Memastikan penggunaan teknologi informasi mampu meningkatkan kualitas pelayanan publik dan mengoptimalkan penggunaan anggaran.
3.  **Identifikasi kendala:** Menemukan hambatan dalam tata kelola, infrastruktur, dan sumber daya manusia.
4.  **Dasar pengambilan kebijakan:** Menyediakan data akurat bagi pimpinan untuk melakukan perbaikan berkelanjutan (*continuous improvement*) dan penyusunan strategi digitalisasi nasional.
5.  **Mewujudkan integrasi:** Memastikan tidak adanya silo data/aplikasi melalui sinkronisasi antar instansi pemerintah.</t>
        </is>
      </c>
      <c r="G21" s="15" t="n">
        <v>100</v>
      </c>
      <c r="H21" s="15" t="n">
        <v>5.27</v>
      </c>
      <c r="I21" s="15" t="n">
        <v>4.49</v>
      </c>
      <c r="J21" s="15" t="n">
        <v>89.89</v>
      </c>
      <c r="K21" s="15" t="n">
        <v>89.89</v>
      </c>
      <c r="L21" s="16" t="n">
        <v>0.1011</v>
      </c>
      <c r="M21" s="16" t="n">
        <v>0.1011</v>
      </c>
      <c r="N21" s="15" t="n">
        <v>10.11</v>
      </c>
      <c r="O21" s="17" t="inlineStr">
        <is>
          <t>PASSED</t>
        </is>
      </c>
      <c r="P21" s="16" t="n">
        <v>0.8989</v>
      </c>
    </row>
    <row r="22">
      <c r="A22" s="12" t="n">
        <v>14</v>
      </c>
      <c r="B22" s="13" t="inlineStr">
        <is>
          <t>Analisis</t>
        </is>
      </c>
      <c r="C22" s="13" t="inlineStr">
        <is>
          <t>google/gemma-4-26b-a4b-it:free</t>
        </is>
      </c>
      <c r="D22" s="14" t="inlineStr">
        <is>
          <t>Bagaimana hubungan antara CSIRT dan penanganan insiden siber dalam menjaga keamanan layanan digital pemerintah?</t>
        </is>
      </c>
      <c r="E22" s="14" t="inlineStr">
        <is>
          <t>CSIRT bertanggung jawab menangani insiden siber, sedangkan penanganan insiden merupakan proses yang dilaksanakan untuk menjaga keamanan layanan digital.</t>
        </is>
      </c>
      <c r="F22" s="14" t="inlineStr">
        <is>
          <t>Hubungan antara CSIRT (*Computer Security Incident Response Team*) dan penanganan insiden siber adalah hubungan **pelaksana teknis dan operasional** dalam kerangka keamanan informasi pemerintah.
Berikut adalah poin-poin intinya:
1.  **Peran CSIRT sebagai Unit Respon:** CSIRT adalah tim khusus yang berfungsi sebagai garda terdepan dalam mendeteksi, merespons, dan memitigasi serangan siber pada infrastruktur digital pemerintah.
2.  **Alur Penanganan Insiden:** CSIRT menjalankan siklus penanganan insiden yang meliputi: *Detection* (deteksi), *Analysis* (analisis), *Containment* (pengurungan), *Eradication* (pembasmian), dan *Recovery* (pemulihan).
3.  **Menjaga Keamanan Layanan:** Dengan penanganan insiden yang cepat dan tepat oleh CSIRT, dampak serangan dapat diminimalisir, mencegah kebocoran data, dan memastikan ketersediaan (*availability*) layanan digital pemerintah tetap berjalan (menjaga *Business Continuity*).
4.  **Landasan Regulasi:** Implementasi CSIRT dalam penanganan insiden merupakan bentuk nyata kepatuhan terhadap mandat keamanan informasi dalam tata kelola SPBE untuk melindungi aset informasi negara.</t>
        </is>
      </c>
      <c r="G22" s="15" t="n">
        <v>100</v>
      </c>
      <c r="H22" s="15" t="n">
        <v>15.92</v>
      </c>
      <c r="I22" s="15" t="n">
        <v>4.44</v>
      </c>
      <c r="J22" s="15" t="n">
        <v>88.81</v>
      </c>
      <c r="K22" s="15" t="n">
        <v>88.81</v>
      </c>
      <c r="L22" s="16" t="n">
        <v>0.1119</v>
      </c>
      <c r="M22" s="16" t="n">
        <v>0.1119</v>
      </c>
      <c r="N22" s="15" t="n">
        <v>11.19</v>
      </c>
      <c r="O22" s="17" t="inlineStr">
        <is>
          <t>PASSED</t>
        </is>
      </c>
      <c r="P22" s="16" t="n">
        <v>0.8881</v>
      </c>
    </row>
    <row r="23">
      <c r="A23" s="12" t="n">
        <v>15</v>
      </c>
      <c r="B23" s="13" t="inlineStr">
        <is>
          <t>Faktual</t>
        </is>
      </c>
      <c r="C23" s="13" t="inlineStr">
        <is>
          <t>google/gemma-4-26b-a4b-it:free</t>
        </is>
      </c>
      <c r="D23" s="14" t="inlineStr">
        <is>
          <t>Apa manfaat kriptografi untuk pengamanan data pemerintah?</t>
        </is>
      </c>
      <c r="E23" s="14" t="inlineStr">
        <is>
          <t>Menjaga kerahasiaan dan integritas data saat disimpan, digunakan, maupun dipertukarkan.</t>
        </is>
      </c>
      <c r="F23" s="14" t="inlineStr">
        <is>
          <t>Manfaat utama kriptografi untuk pengamanan data pemerintah berdasarkan standar keamanan informasi adalah menjamin empat aspek utama:
1.  **Kerahasiaan (*Confidentiality*):** Memastikan data hanya dapat dibaca oleh pihak yang memiliki hak akses (otorisasi), sehingga informasi sensitif negara tidak bocor ke pihak yang tidak berwenang.
2.  **Integritas (*Integrity*):** Menjamin bahwa data tidak diubah, dimanipulasi, atau dirusak oleh pihak tidak berwenang selama proses transmisi maupun penyimpanan.
3.  **Keaslian (*Authenticity*):** Memverifikasi identitas pengirim data atau pemilik data, memastikan bahwa data tersebut benar-benar berasal dari sumber yang sah.
4.  **Nirpenyangkalan (*Non-repudiation*):** Mencegah pihak pengirim menyangkal telah melakukan pengiriman atau transaksi data, yang sangat krusial untuk aspek legalitas dan audit tata kelola pemerintahan digital.</t>
        </is>
      </c>
      <c r="G23" s="15" t="n">
        <v>100</v>
      </c>
      <c r="H23" s="15" t="n">
        <v>11.93</v>
      </c>
      <c r="I23" s="15" t="n">
        <v>4.29</v>
      </c>
      <c r="J23" s="15" t="n">
        <v>85.84999999999999</v>
      </c>
      <c r="K23" s="15" t="n">
        <v>85.84999999999999</v>
      </c>
      <c r="L23" s="16" t="n">
        <v>0.1415</v>
      </c>
      <c r="M23" s="16" t="n">
        <v>0.1415</v>
      </c>
      <c r="N23" s="15" t="n">
        <v>14.15</v>
      </c>
      <c r="O23" s="17" t="inlineStr">
        <is>
          <t>PASSED</t>
        </is>
      </c>
      <c r="P23" s="16" t="n">
        <v>0.8585</v>
      </c>
    </row>
    <row r="24">
      <c r="A24" s="12" t="n">
        <v>16</v>
      </c>
      <c r="B24" s="13" t="inlineStr">
        <is>
          <t>Faktual</t>
        </is>
      </c>
      <c r="C24" s="13" t="inlineStr">
        <is>
          <t>google/gemma-4-26b-a4b-it:free</t>
        </is>
      </c>
      <c r="D24" s="14" t="inlineStr">
        <is>
          <t>Jelaskan secara umum konsep arsitektur enterprise pada pemerintahan.</t>
        </is>
      </c>
      <c r="E24" s="14" t="inlineStr">
        <is>
          <t>Kerangka yang menyelaraskan proses bisnis, data, aplikasi, dan teknologi agar terpadu mendukung tujuan organisasi.</t>
        </is>
      </c>
      <c r="F24" s="14" t="inlineStr">
        <is>
          <t>Konsep **Arsitektur Enterprise (AE) Pemerintah** adalah kerangka kerja terintegrasi yang menyelaraskan strategi bisnis pemerintah dengan teknologi informasi untuk mencapai tujuan organisasi.
Berdaspen Perpres No. 95 Tahun 2018, AE dalam SPBE terdiri dari 6 domain utama yang saling terhubung:
1.  **Arsitektur Proses Bisnis:** Menjelaskan rangkaian aktivitas/tata kerja organisasi untuk menghasilkan layanan publik.
2.\_ **Arsitektur Data dan Informasi:** Menentukan struktur, jenis, dan aliran data yang dibutuhkan antar unit kerja.
3.\_ **Arsitek Layanan:** Mendefinisikan jenis layanan digital yang diberikan kepada masyarakat maupun antar instansi (G2G, G2C, G2B).
4\_ **Arsitektur Aplikasi:** Mengatur integrasi dan interoperabilitas antar aplikasi agar tidak terjadi silo informasi.
5\_ **Arsitektur Infrastruktur TI:** Mencakup perangkat keras, jaringan, dan pusat data (pusat data nasional) yang mendukung sistem.
6\_ **Arsitektur Keamanan:** Standar dan protokol perlindungan data serta sistem dari ancaman siber di seluruh domain.
**Tujuan Utama:** Menghilangkan duplikasi sistem, menjamin interoperabilitas (kemampuan berbagi pakai), dan menciptakan efisi-siensi anggaran melalui integrasi sistem yang terstandarisasi.</t>
        </is>
      </c>
      <c r="G24" s="15" t="n">
        <v>100</v>
      </c>
      <c r="H24" s="15" t="n">
        <v>25.59</v>
      </c>
      <c r="I24" s="15" t="n">
        <v>4.27</v>
      </c>
      <c r="J24" s="15" t="n">
        <v>85.42</v>
      </c>
      <c r="K24" s="15" t="n">
        <v>85.42</v>
      </c>
      <c r="L24" s="16" t="n">
        <v>0.1458</v>
      </c>
      <c r="M24" s="16" t="n">
        <v>0.1458</v>
      </c>
      <c r="N24" s="15" t="n">
        <v>14.58</v>
      </c>
      <c r="O24" s="17" t="inlineStr">
        <is>
          <t>PASSED</t>
        </is>
      </c>
      <c r="P24" s="16" t="n">
        <v>0.8542</v>
      </c>
    </row>
    <row r="25">
      <c r="A25" s="12" t="n">
        <v>17</v>
      </c>
      <c r="B25" s="13" t="inlineStr">
        <is>
          <t>Faktual</t>
        </is>
      </c>
      <c r="C25" s="13" t="inlineStr">
        <is>
          <t>google/gemma-4-26b-a4b-it:free</t>
        </is>
      </c>
      <c r="D25" s="14" t="inlineStr">
        <is>
          <t>Apa yang dimaksud dengan informasi geospasial?</t>
        </is>
      </c>
      <c r="E25" s="14" t="inlineStr">
        <is>
          <t>Informasi mengenai lokasi, posisi, dan karakteristik objek di permukaan bumi yang bereferensi spasial.</t>
        </is>
      </c>
      <c r="F25" s="14" t="inlineStr">
        <is>
          <t>**Informasi Geospasial** adalah data atau informasi yang memiliki referensi posisi atau lokasi di permukaan bumi.
Dalam konteks SPBE dan tata kelola data nasional, informasi ini mencakup data yang merepresentasikan objek, fenomena, atau karakteristik wilayah yang terikat pada koordinat geografis tertentu (seperti titik, garis, atau poligon).</t>
        </is>
      </c>
      <c r="G25" s="15" t="n">
        <v>100</v>
      </c>
      <c r="H25" s="15" t="n">
        <v>3.52</v>
      </c>
      <c r="I25" s="15" t="n">
        <v>4.46</v>
      </c>
      <c r="J25" s="15" t="n">
        <v>89.29000000000001</v>
      </c>
      <c r="K25" s="15" t="n">
        <v>89.29000000000001</v>
      </c>
      <c r="L25" s="16" t="n">
        <v>0.1071</v>
      </c>
      <c r="M25" s="16" t="n">
        <v>0.1071</v>
      </c>
      <c r="N25" s="15" t="n">
        <v>10.71</v>
      </c>
      <c r="O25" s="17" t="inlineStr">
        <is>
          <t>PASSED</t>
        </is>
      </c>
      <c r="P25" s="16" t="n">
        <v>0.8929</v>
      </c>
    </row>
    <row r="26">
      <c r="A26" s="12" t="n">
        <v>18</v>
      </c>
      <c r="B26" s="13" t="inlineStr">
        <is>
          <t>Analisis</t>
        </is>
      </c>
      <c r="C26" s="13" t="inlineStr">
        <is>
          <t>google/gemma-4-26b-a4b-it:free</t>
        </is>
      </c>
      <c r="D26" s="14" t="inlineStr">
        <is>
          <t>Mengapa kolaborasi lintas instansi penting dalam pemerintahan digital?</t>
        </is>
      </c>
      <c r="E26" s="14" t="inlineStr">
        <is>
          <t>Untuk menghindari fragmentasi sistem, berbagi data, dan menghasilkan layanan terpadu bagi masyarakat.</t>
        </is>
      </c>
      <c r="F26" s="14" t="inlineStr">
        <is>
          <t>Kolaborasi lintas instansi penting dalam pemerintahan digital karena:
1.  **Menghindari Silo Data &amp; Sistem:** Mencegah duplikasi aplikasi dan fragmentasi data antar instansi yang menyebabkan inefisiensi anggaran dan sumber daya.
2.  **Interoperabilitas:** Memungkinkan pertukaran data dan integrasi sistem secara mulus melalui Arsitektur SPBE Nasional, sehingga layanan menjadi terpadu.
3.  **Efisiensi Layanan Publik:** Mewujudkan layanan pemerintah yang bersifat *seamless* (tanpa hambatan) bagi masyarakat, di mana pengguna tidak perlu berurusan dengan banyak pintu aplikasi berbeda.
4.  **Pengambilan Keputusan Berbasis Data:** Memungkinkan integrasi data besar (*Big Data*) untuk kebijakan yang lebih akurat, cepat, dan tepat sasaran melalui prinsip *Satu Data Indonesia*.
5.  **Optimalisasi Sumber Daya:** Menghemat biaya pembangunan infrastruktur teknologi informasi melalui penggunaan infrastruktur bersama (Pusat Data Nasional).</t>
        </is>
      </c>
      <c r="G26" s="15" t="n">
        <v>100</v>
      </c>
      <c r="H26" s="15" t="n">
        <v>16.54</v>
      </c>
      <c r="I26" s="15" t="n">
        <v>4.27</v>
      </c>
      <c r="J26" s="15" t="n">
        <v>85.34</v>
      </c>
      <c r="K26" s="15" t="n">
        <v>85.34</v>
      </c>
      <c r="L26" s="16" t="n">
        <v>0.1466</v>
      </c>
      <c r="M26" s="16" t="n">
        <v>0.1466</v>
      </c>
      <c r="N26" s="15" t="n">
        <v>14.66</v>
      </c>
      <c r="O26" s="17" t="inlineStr">
        <is>
          <t>PASSED</t>
        </is>
      </c>
      <c r="P26" s="16" t="n">
        <v>0.8534</v>
      </c>
    </row>
    <row r="27">
      <c r="A27" s="12" t="n">
        <v>19</v>
      </c>
      <c r="B27" s="13" t="inlineStr">
        <is>
          <t>Evaluatif</t>
        </is>
      </c>
      <c r="C27" s="13" t="inlineStr">
        <is>
          <t>google/gemma-4-26b-a4b-it:free</t>
        </is>
      </c>
      <c r="D27" s="14" t="inlineStr">
        <is>
          <t>Apa indikator umum keberhasilan sebuah reformasi birokrasi?</t>
        </is>
      </c>
      <c r="E27" s="14" t="inlineStr">
        <is>
          <t>Peningkatan kualitas pelayanan publik, akuntabilitas kinerja, efisiensi, dan kepercayaan masyarakat.</t>
        </is>
      </c>
      <c r="F27" s="14" t="inlineStr">
        <is>
          <t>Indikator umum keberhasilan reformasi birokrasi secara nasional (berdasarkan kerangka evaluasi Kemenpan-RB) meliputi:
1.  **Perubahan Pola Pikir (*Mindset*) dan Budaya Kerja (*Culture Set*):** Terwujudnya integritas dan profesionalisme ASN.
2.  **Penyederhanaan Struktur Organisasi:** Organisasi yang lebih ramping, lincah (*agile*), dan tidak tumpang tindih.
3.- **Peningkatan Kualitas Pelayanan Publik:** Layanan yang lebih cepat, murah, mudah, dan berbasis digital (termasengnya integrasi SPBE).
4- **Efektivasi Tata Kelola Pemerintahan:** Efisiensi penggunaan anggaran, birokrasi yang tidak berbelit, dan pengambilan keputusan berbasis data.
5- **Peningkatan Akuntabilitas dan Transparansi:** Penurunan tingkat korupsi dan meningkatnya nilai SAKIP (Sistem Akuntabilitas Kinerja Instansi Pemerintah).
6- **Peningkatan Kualitas Regulasi:** Kebijakan yang tidak saling bertabrakan dan memudahkan investasi serta layanan masyarakat.</t>
        </is>
      </c>
      <c r="G27" s="15" t="n">
        <v>100</v>
      </c>
      <c r="H27" s="15" t="n">
        <v>25.64</v>
      </c>
      <c r="I27" s="15" t="n">
        <v>4.26</v>
      </c>
      <c r="J27" s="15" t="n">
        <v>85.13</v>
      </c>
      <c r="K27" s="15" t="n">
        <v>85.13</v>
      </c>
      <c r="L27" s="16" t="n">
        <v>0.1487</v>
      </c>
      <c r="M27" s="16" t="n">
        <v>0.1487</v>
      </c>
      <c r="N27" s="15" t="n">
        <v>14.87</v>
      </c>
      <c r="O27" s="17" t="inlineStr">
        <is>
          <t>PASSED</t>
        </is>
      </c>
      <c r="P27" s="16" t="n">
        <v>0.8512999999999999</v>
      </c>
    </row>
    <row r="28">
      <c r="A28" s="12" t="n">
        <v>20</v>
      </c>
      <c r="B28" s="13" t="inlineStr">
        <is>
          <t>Analisis</t>
        </is>
      </c>
      <c r="C28" s="13" t="inlineStr">
        <is>
          <t>google/gemma-4-26b-a4b-it:free</t>
        </is>
      </c>
      <c r="D28" s="14" t="inlineStr">
        <is>
          <t>Apa perbedaan antara penilaian mandiri dan penilaian eksternal dalam evaluasi kinerja?</t>
        </is>
      </c>
      <c r="E28" s="14" t="inlineStr">
        <is>
          <t>Penilaian mandiri dilakukan internal organisasi; penilaian eksternal dilakukan pihak di luar organisasi untuk verifikasi.</t>
        </is>
      </c>
      <c r="F28" s="14" t="inlineStr">
        <is>
          <t>Berikut adalah perbedaan antara penilaian mandiri dan penilaian eksternal dalam evaluasi kinerja SPBE:
**1. Penilaian Mandiri (Self-Assessment)**
*   **Pelaksana:** Dilakukan oleh instansi itu sendiri (Internal).
*   - **Tujuan:** Mengukur tingkat kematangan secara internal, mengidentifikasi celah (*gap analysis*), dan persiapan sebelum audit/evaluasi resmi.
*   - **Sifat:** Subjektif (berdasarkan data yang diinput sendiri oleh instansi).
**2. Penilaian Eksternal**
*   **Pelaksana:** Dilakukan oleh pihak luar/otoritas pembina (dalam konteks SPBE di Indonesia adalah **Kementerian PANRB**).
*   **Tujuan:** Memberikan nilai objektif, melakukan validasi terhadap hasil penilaian mandiri, dan menetasi status kematangan SPBE nasional.
*   **Sifat:** Objektif (berdasarkan verifikasi bukti dukung dan standar regulasi yang berlaku).</t>
        </is>
      </c>
      <c r="G28" s="15" t="n">
        <v>100</v>
      </c>
      <c r="H28" s="15" t="n">
        <v>23.82</v>
      </c>
      <c r="I28" s="15" t="n">
        <v>4.41</v>
      </c>
      <c r="J28" s="15" t="n">
        <v>88.16</v>
      </c>
      <c r="K28" s="15" t="n">
        <v>88.16</v>
      </c>
      <c r="L28" s="16" t="n">
        <v>0.1184</v>
      </c>
      <c r="M28" s="16" t="n">
        <v>0.1184</v>
      </c>
      <c r="N28" s="15" t="n">
        <v>11.84</v>
      </c>
      <c r="O28" s="17" t="inlineStr">
        <is>
          <t>PASSED</t>
        </is>
      </c>
      <c r="P28" s="16" t="n">
        <v>0.8816000000000001</v>
      </c>
    </row>
    <row r="29">
      <c r="A29" s="12" t="n">
        <v>21</v>
      </c>
      <c r="B29" s="13" t="inlineStr">
        <is>
          <t>Analisis</t>
        </is>
      </c>
      <c r="C29" s="13" t="inlineStr">
        <is>
          <t>google/gemma-4-26b-a4b-it:free</t>
        </is>
      </c>
      <c r="D29" s="14" t="inlineStr">
        <is>
          <t>Bagaimana hubungan antara tata kelola data dan interoperabilitas data dalam mendukung penyelenggaraan pemerintah digital?</t>
        </is>
      </c>
      <c r="E29" s="14" t="inlineStr">
        <is>
          <t>Tata kelola data menetapkan standar pengelolaan data, sedangkan interoperabilitas data memungkinkan pertukaran data dan pemanfaatan data lintas sistem.</t>
        </is>
      </c>
      <c r="F29" s="14" t="inlineStr">
        <is>
          <t>Hubungan antara tata kelola data dan interoperabilitas data dalam SPBE adalah hubungan **syarat dan fungsi**:
1.  **Tata Kelola Data sebagai Fondasi (Input):** Menetapkan aturan main, standar data, klasifikasi, dan tanggung jawab (data steward/owner). Tanpa tata kelola yang baik, data akan berantakan, tidak akurat, dan tidak konsisten.
2.ers **Interoperabilitas Data sebagai Mekanisme (Proses):** Kemampuan sistem untuk saling berbagi data. Interoperabilitas hanya bisa berjalan jika data yang dipertukarkan memiliki **standar yang sama** (hasil dari tata kelola).
3.  **Pemerintah Digital sebagai Output:** 
    *   **Tata Kelola** memastikan data **berkualitas dan aman**.
    *   **Interoperabilitas** memastikan data tersebut **dapat mengalir** antar instansi.
**Kesimpulan:** Tata kelola menyediakan **standarisasi**, interoperabilitas menyediakan **konektivitas**. Keduanya harus berjalan beriringan agar data dapat digunakan secara tunggal (Single Source of Truth) untuk pengambilan kebijakan dan layanan publik digital.</t>
        </is>
      </c>
      <c r="G29" s="15" t="n">
        <v>100</v>
      </c>
      <c r="H29" s="15" t="n">
        <v>22.58</v>
      </c>
      <c r="I29" s="15" t="n">
        <v>4.4</v>
      </c>
      <c r="J29" s="15" t="n">
        <v>88.04000000000001</v>
      </c>
      <c r="K29" s="15" t="n">
        <v>88.04000000000001</v>
      </c>
      <c r="L29" s="16" t="n">
        <v>0.1196</v>
      </c>
      <c r="M29" s="16" t="n">
        <v>0.1196</v>
      </c>
      <c r="N29" s="15" t="n">
        <v>11.96</v>
      </c>
      <c r="O29" s="17" t="inlineStr">
        <is>
          <t>PASSED</t>
        </is>
      </c>
      <c r="P29" s="16" t="n">
        <v>0.8804</v>
      </c>
    </row>
    <row r="30">
      <c r="A30" s="12" t="n">
        <v>22</v>
      </c>
      <c r="B30" s="13" t="inlineStr">
        <is>
          <t>Ekstraksi</t>
        </is>
      </c>
      <c r="C30" s="13" t="inlineStr">
        <is>
          <t>google/gemma-4-26b-a4b-it:free</t>
        </is>
      </c>
      <c r="D30" s="14" t="inlineStr">
        <is>
          <t>Sebutkan 4 indikator yang termasuk dalam Aspek Data pada Indeks Pemdi.</t>
        </is>
      </c>
      <c r="E30" s="14" t="inlineStr">
        <is>
          <t>Tata Kelola Data, Penyelenggaraan Informasi Geospasial, Pembangunan Statistik, Pelindungan Data Pribadi.</t>
        </is>
      </c>
      <c r="F30" s="14" t="inlineStr">
        <is>
          <t>Berdasarkan Peraturan Menteri PANRB terkait evaluasi Indeks SPBE, 4 indikator dalam **Aspek Data** adalah:
1. **Data Terintegrasi**
2. **Data Terbagi Pakai**
3. **Kualitas Data**
4. **Keamanan Data**</t>
        </is>
      </c>
      <c r="G30" s="15" t="n">
        <v>100</v>
      </c>
      <c r="H30" s="15" t="n">
        <v>9.56</v>
      </c>
      <c r="I30" s="15" t="n">
        <v>4.33</v>
      </c>
      <c r="J30" s="15" t="n">
        <v>86.58</v>
      </c>
      <c r="K30" s="15" t="n">
        <v>86.58</v>
      </c>
      <c r="L30" s="16" t="n">
        <v>0.1342</v>
      </c>
      <c r="M30" s="16" t="n">
        <v>0.1342</v>
      </c>
      <c r="N30" s="15" t="n">
        <v>13.42</v>
      </c>
      <c r="O30" s="17" t="inlineStr">
        <is>
          <t>PASSED</t>
        </is>
      </c>
      <c r="P30" s="16" t="n">
        <v>0.8658</v>
      </c>
    </row>
    <row r="31">
      <c r="A31" s="12" t="n">
        <v>23</v>
      </c>
      <c r="B31" s="13" t="inlineStr">
        <is>
          <t>Faktual</t>
        </is>
      </c>
      <c r="C31" s="13" t="inlineStr">
        <is>
          <t>google/gemma-4-26b-a4b-it:free</t>
        </is>
      </c>
      <c r="D31" s="14" t="inlineStr">
        <is>
          <t>Bagaimana AI dapat dimanfaatkan untuk meningkatkan kualitas layanan publik?</t>
        </is>
      </c>
      <c r="E31" s="14" t="inlineStr">
        <is>
          <t>Membantu otomatisasi layanan, analisis data, dan penyediaan informasi yang lebih cepat dan akurat.</t>
        </is>
      </c>
      <c r="F31" s="14" t="inlineStr">
        <is>
          <t>Pemanfaatan AI dalam kerangka SPBE untuk meningkatkan kualitas layanan publik dilakukan melalui empat pilar utama:
1.  **Otomasi Layanan (Chatbot &amp; Virtual Assistant):** Menyediakan layanan informasi dan administrasi 24/7 secara responsif untuk mengurangi antrean fisik dan beban kerja manual petugas.
2.  **Analisis Data Berbasis Prediktif (Data-Driven Policy):** Mengolah *Big Data* dari integrasi sistem (Satu Data Indonesia) untuk memprediksi kebutuhan masyarakat, mendeteksi anomali (fraud), dan membantu pengambilan keputusan berbasis bukti (*evidence-based policy*).
3.. **Personalisasi Layanan:** Menggunakan algoritma untuk memberikan rekomendasi layanan yang sesuai dengan profil dan kebutuhan spesifik pengguna (warga negara).
4.  **Efisiasi Operasional Birokrasi:** Mengotomasi tugas administratif rutin (RPA - *Robotic Process Automation*) dan mempercepat proses verifikasi dokumen melalui teknologi OCR (*Optical Character Recognition*).
**Prinsip Utama:** Implementasi harus tetap mengacu pada **Keamanan Siber** dan **Etika AI** guna menjamin perlindungan data pribadi warga negara sesuai regulasi yang berlaku.</t>
        </is>
      </c>
      <c r="G31" s="15" t="n">
        <v>100</v>
      </c>
      <c r="H31" s="15" t="n">
        <v>28.27</v>
      </c>
      <c r="I31" s="15" t="n">
        <v>4.25</v>
      </c>
      <c r="J31" s="15" t="n">
        <v>85.09</v>
      </c>
      <c r="K31" s="15" t="n">
        <v>85.09</v>
      </c>
      <c r="L31" s="16" t="n">
        <v>0.1491</v>
      </c>
      <c r="M31" s="16" t="n">
        <v>0.1491</v>
      </c>
      <c r="N31" s="15" t="n">
        <v>14.91</v>
      </c>
      <c r="O31" s="17" t="inlineStr">
        <is>
          <t>PASSED</t>
        </is>
      </c>
      <c r="P31" s="16" t="n">
        <v>0.8509</v>
      </c>
    </row>
    <row r="32">
      <c r="A32" s="12" t="n">
        <v>24</v>
      </c>
      <c r="B32" s="13" t="inlineStr">
        <is>
          <t>Analisis</t>
        </is>
      </c>
      <c r="C32" s="13" t="inlineStr">
        <is>
          <t>google/gemma-4-26b-a4b-it:free</t>
        </is>
      </c>
      <c r="D32" s="14" t="inlineStr">
        <is>
          <t>Mengapa data berkualitas penting dalam proses perumusan kebijakan?</t>
        </is>
      </c>
      <c r="E32" s="14" t="inlineStr">
        <is>
          <t>Karena kebijakan yang baik harus didasarkan pada data yang akurat, lengkap, dan terpercaya</t>
        </is>
      </c>
      <c r="F32" s="14" t="inlineStr">
        <is>
          <t>Data berkualitas penting dalam perumusan kebijakan karena:
1.  **Akurasi Pengambilan Keputusan:** Menjamin kebijakan didasarkan pada fakta lapangan yang riil, bukan asumsi, sehingga meminimalisir risiko kegagalan kebijakan.
2.  **Efektivitas dan Efisiensi:** Memastikan alokasi sumber daya (anggaran dan personel) tepat sasaran sesuai dengan kebutuhan riil masyarakat.
3.  **Prediksi yang Tepat:** Memungkinkan pemodelan dan simulasi dampak kebijakan di masa depan dengan tingkat presisi yang tinggi.
4.  **Akuntabilitas dan Transparansi:** Menyediakan dasar pembuktian yang kuat dalam pertanggungjawaban kinerja pemerintah kepada publik.
5.  **Integrasi Kebijakan:** Mendukung prinsip *Satu Data Indonesia*, sehingga kebijakan antarinstansi tidak saling tumpang tindih atau kontradiktif.</t>
        </is>
      </c>
      <c r="G32" s="15" t="n">
        <v>100</v>
      </c>
      <c r="H32" s="15" t="n">
        <v>6.24</v>
      </c>
      <c r="I32" s="15" t="n">
        <v>4.33</v>
      </c>
      <c r="J32" s="15" t="n">
        <v>86.55</v>
      </c>
      <c r="K32" s="15" t="n">
        <v>86.55</v>
      </c>
      <c r="L32" s="16" t="n">
        <v>0.1345</v>
      </c>
      <c r="M32" s="16" t="n">
        <v>0.1345</v>
      </c>
      <c r="N32" s="15" t="n">
        <v>13.45</v>
      </c>
      <c r="O32" s="17" t="inlineStr">
        <is>
          <t>PASSED</t>
        </is>
      </c>
      <c r="P32" s="16" t="n">
        <v>0.8655</v>
      </c>
    </row>
    <row r="33">
      <c r="A33" s="12" t="n">
        <v>25</v>
      </c>
      <c r="B33" s="13" t="inlineStr">
        <is>
          <t>Faktual</t>
        </is>
      </c>
      <c r="C33" s="13" t="inlineStr">
        <is>
          <t>google/gemma-4-26b-a4b-it:free</t>
        </is>
      </c>
      <c r="D33" s="14" t="inlineStr">
        <is>
          <t>Secara umum, apa fungsi metadata dalam tata kelola data?</t>
        </is>
      </c>
      <c r="E33" s="14" t="inlineStr">
        <is>
          <t>Menjelaskan konteks, struktur, dan makna data agar mudah ditemukan, dipahami, dan digunakan ulang.</t>
        </is>
      </c>
      <c r="F33" s="14" t="inlineStr">
        <is>
          <t>Dalam tata kelola data, fungsi utama metadata adalah sebagai **data tentang data** yang berfungsi untuk:
1.  **Identifikasi &amp; Deskripsi:** Memberikan informasi mengenai karakteristik, struktur, format, dan isi dari suatu data.
2.  **Konteks &amp; Interpretasi:** Memberikan konteks agar data dapat dipahami dengan benar (siapa pembuatnya, kapan dibuat, dan apa maknanya).
3.- **Penemuan (Discoverability):** Memudahkan pencarian dan temu balik data dalam sistem atau katalog data.
4.  **Interoperabilitas:** Memungkinkan pertukaran dan integrasi data antar sistem/instansi karena adanya standar format yang jelas.
5.- **Keamanan &amp; Kualitas:** Menjelaskan tingkat sensitivitas data (klasifikasi keamanan) serta menjamin akurasi dan relevansi data melalui pelacakan asal-usul (*lineage*).</t>
        </is>
      </c>
      <c r="G33" s="15" t="n">
        <v>100</v>
      </c>
      <c r="H33" s="15" t="n">
        <v>20.6</v>
      </c>
      <c r="I33" s="15" t="n">
        <v>4.29</v>
      </c>
      <c r="J33" s="15" t="n">
        <v>85.84</v>
      </c>
      <c r="K33" s="15" t="n">
        <v>85.84</v>
      </c>
      <c r="L33" s="16" t="n">
        <v>0.1416</v>
      </c>
      <c r="M33" s="16" t="n">
        <v>0.1416</v>
      </c>
      <c r="N33" s="15" t="n">
        <v>14.16</v>
      </c>
      <c r="O33" s="17" t="inlineStr">
        <is>
          <t>PASSED</t>
        </is>
      </c>
      <c r="P33" s="16" t="n">
        <v>0.8584000000000001</v>
      </c>
    </row>
    <row r="34">
      <c r="A34" s="12" t="n">
        <v>26</v>
      </c>
      <c r="B34" s="13" t="inlineStr">
        <is>
          <t>Faktual</t>
        </is>
      </c>
      <c r="C34" s="13" t="inlineStr">
        <is>
          <t>google/gemma-4-26b-a4b-it:free</t>
        </is>
      </c>
      <c r="D34" s="14" t="inlineStr">
        <is>
          <t>Apa yang dimaksud dengan layanan publik berbasis siklus hidup (life event)?</t>
        </is>
      </c>
      <c r="E34" s="14" t="inlineStr">
        <is>
          <t>Layanan yang dirancang mengikuti peristiwa hidup warga (lahir, sekolah, kerja, dsb.) bukan per-instansi.</t>
        </is>
      </c>
      <c r="F34" s="14" t="inlineStr">
        <is>
          <t>Layanan publik berbasis **siklus hidup (*life event*)** adalah pendekatan penyelenggaraan layanan yang disusun berdasarkan tahapan peristiwa penting dalam kehidupan warga negara (seperti kelahiran, pendidikan, pernikahan, hingga kematian), bukan berdasarkan struktur organisasi perangkat daerah.
**Karakteristik Utama:**
1. **Berpusat pada Warga (*Citizen-Central*):** Fokus pada kebutuhan pengguna, bukan prosedur birokrasi.
2. **Integrasi Layanan:** Menggabungkan berbagai layanan dari instansi berbeda dalam satu alur proses yang terpadu.
3. **Interoperabilitas:** Menuntut integrasi data dan sistem antar instansi pemerintah agar pengguna tidak perlu menginput data yang sama berulang kali.
**Contoh:** Layanan "Kelahiran Anak" yang mengintegrasi pembuatan Akta Kelahiran (Disdukcapil), pembuatan Kartu Keluarga (Disdukcapil), dan pendaftaran jaminan kesehatan (BPJS).</t>
        </is>
      </c>
      <c r="G34" s="15" t="n">
        <v>100</v>
      </c>
      <c r="H34" s="15" t="n">
        <v>20.12</v>
      </c>
      <c r="I34" s="15" t="n">
        <v>4.39</v>
      </c>
      <c r="J34" s="15" t="n">
        <v>87.70999999999999</v>
      </c>
      <c r="K34" s="15" t="n">
        <v>87.70999999999999</v>
      </c>
      <c r="L34" s="16" t="n">
        <v>0.1229</v>
      </c>
      <c r="M34" s="16" t="n">
        <v>0.1229</v>
      </c>
      <c r="N34" s="15" t="n">
        <v>12.29</v>
      </c>
      <c r="O34" s="17" t="inlineStr">
        <is>
          <t>PASSED</t>
        </is>
      </c>
      <c r="P34" s="16" t="n">
        <v>0.8771</v>
      </c>
    </row>
    <row r="35">
      <c r="A35" s="12" t="n">
        <v>27</v>
      </c>
      <c r="B35" s="13" t="inlineStr">
        <is>
          <t>Analisis</t>
        </is>
      </c>
      <c r="C35" s="13" t="inlineStr">
        <is>
          <t>google/gemma-4-26b-a4b-it:free</t>
        </is>
      </c>
      <c r="D35" s="14" t="inlineStr">
        <is>
          <t>Mengapa pengukuran berbasis indeks digunakan dalam evaluasi pemerintahan?</t>
        </is>
      </c>
      <c r="E35" s="14" t="inlineStr">
        <is>
          <t>Untuk menstandarkan penilaian, membandingkan antarinstansi, dan memantau kemajuan secara objektif.</t>
        </is>
      </c>
      <c r="F35" s="14" t="inlineStr">
        <is>
          <t>Pengukuran berbasis indeks digunakan dalam evaluasi pemerintahan (seperti Indeks SPBE) karena alasan berikut:
1.  **Standardisasi:** Menyediakan parameter yang seragam untuk membandingkan kinerja antar instansi pemerintah secara objektif.
2.ek **Kuantifikasi Kinerja:** Mengubah data kualitatif (kualitas layanan/tata kelola) menjadi angka kuantitatif yang dapat diukur dan dipantau progresnya.
3.  **Pemetaan (Benchmarking):** Memudahkan identifikasi tingkat kematangan (*maturity level*) dan posisi capaian instansi dibandingkan standar nasional.
4.  **Dasar Pengambilan Kebijakan:** Memberikan basis data berbasis bukti (*evidence-based*) bagi pimpinan untuk menentukan prioritas perbaikan dan alokasi sumber daya.
5.  **Akuntabilitas:** Menjadi instruman transparansi untuk menunjukkan sejauh mana target pembangunan sistem digital telah tercapai.</t>
        </is>
      </c>
      <c r="G35" s="15" t="n">
        <v>100</v>
      </c>
      <c r="H35" s="15" t="n">
        <v>20.5</v>
      </c>
      <c r="I35" s="15" t="n">
        <v>4.31</v>
      </c>
      <c r="J35" s="15" t="n">
        <v>86.28</v>
      </c>
      <c r="K35" s="15" t="n">
        <v>86.28</v>
      </c>
      <c r="L35" s="16" t="n">
        <v>0.1372</v>
      </c>
      <c r="M35" s="16" t="n">
        <v>0.1372</v>
      </c>
      <c r="N35" s="15" t="n">
        <v>13.72</v>
      </c>
      <c r="O35" s="17" t="inlineStr">
        <is>
          <t>PASSED</t>
        </is>
      </c>
      <c r="P35" s="16" t="n">
        <v>0.8628</v>
      </c>
    </row>
    <row r="36">
      <c r="A36" s="12" t="n">
        <v>28</v>
      </c>
      <c r="B36" s="13" t="inlineStr">
        <is>
          <t>Evaluatif</t>
        </is>
      </c>
      <c r="C36" s="13" t="inlineStr">
        <is>
          <t>google/gemma-4-26b-a4b-it:free</t>
        </is>
      </c>
      <c r="D36" s="14" t="inlineStr">
        <is>
          <t>Apa manfaat audit keamanan informasi yang dilakukan secara berkala?</t>
        </is>
      </c>
      <c r="E36" s="14" t="inlineStr">
        <is>
          <t>Mengidentifikasi kerentanan, memastikan kepatuhan kontrol, dan mendorong perbaikan berkelanjutan.</t>
        </is>
      </c>
      <c r="F36" s="14" t="inlineStr">
        <is>
          <t>Manfaat audit keamanan informasi secara berkala dalam kerangka SPBE adalah:
1.  **Identifikasi Kerentanan:** Menemukan celah keamanan pada infrastruktur, aplikasi, dan data sebelum dieksploitasi oleh pihak tidak bertanggung jawab.
2.  **Mitigasi Risiko:** Mengurangi dampak potensi serangan siber dan kebocoran data melalui deteksi dini.
3.  **Kepatuhan Regulasi (Compliance):** Memastikan tata kelola sistem memenuhi standar keamanan informasi nasional (seperti ISO/IEC 27001 atau regulasi BSSN).
4.  **Evaluasi Efektivitas Kontrol:** Menilai apakah kebijakan, prosedur, dan kontrol keamanan yang ada saat ini masih relevan dan berfungsi optimal.
5.  **Peningkatan Kepercayaan Publik:** Menjamin integritas, ketersediaan, dan kerahasiaan data pemerintah guna menjaga kepercayaan masyarakat terhadap layanan digital pemerintah.</t>
        </is>
      </c>
      <c r="G36" s="15" t="n">
        <v>100</v>
      </c>
      <c r="H36" s="15" t="n">
        <v>7.15</v>
      </c>
      <c r="I36" s="15" t="n">
        <v>4.27</v>
      </c>
      <c r="J36" s="15" t="n">
        <v>85.43000000000001</v>
      </c>
      <c r="K36" s="15" t="n">
        <v>85.43000000000001</v>
      </c>
      <c r="L36" s="16" t="n">
        <v>0.1457</v>
      </c>
      <c r="M36" s="16" t="n">
        <v>0.1457</v>
      </c>
      <c r="N36" s="15" t="n">
        <v>14.57</v>
      </c>
      <c r="O36" s="17" t="inlineStr">
        <is>
          <t>PASSED</t>
        </is>
      </c>
      <c r="P36" s="16" t="n">
        <v>0.8542999999999999</v>
      </c>
    </row>
    <row r="37">
      <c r="A37" s="12" t="n">
        <v>29</v>
      </c>
      <c r="B37" s="13" t="inlineStr">
        <is>
          <t>Faktual</t>
        </is>
      </c>
      <c r="C37" s="13" t="inlineStr">
        <is>
          <t>google/gemma-4-26b-a4b-it:free</t>
        </is>
      </c>
      <c r="D37" s="14" t="inlineStr">
        <is>
          <t>Jelaskan konsep 'human-based governance' secara umum.</t>
        </is>
      </c>
      <c r="E37" s="14" t="inlineStr">
        <is>
          <t>Tata kelola yang berorientasi pada kebutuhan dan dampak nyata bagi manusia/pengguna layanan.</t>
        </is>
      </c>
      <c r="F37" s="14" t="inlineStr">
        <is>
          <t>**Human-based governance** dalam konteks tata kelola adalah pendekatan yang menempatkan **manusia (SDM)** sebagai pusat kendali, pengambil keputusan, dan penanggung jawab utama dalam sistem.
Inti konsepnya meliputi:
1.  **Manusia sebagai Pengendali:** Teknologi (seperti AI atau sistem otomatis) berfungsi sebagai alat pendukung, namun keputusan strategis, etika, dan akuntabilitas tetap berada di tangan manusia.
2.  **Peningkatan Kapasitas:** Fokus pada pengembangan kompetensi, literasi digital, dan budaya kerja SDM agar mampu mengoperasikan dan mengawasi teknologi.
3.- **Aspek Etika dan Moral:** Memastikan bahwa setiap kebijakan dan penggunaan teknologi tetap selaras dengan nilai-nilai kemanusiaan, norma, dan aturan hukum yang berlaku.
4.  **Akuntabilitas:** Menetapkan dengan jelas siapa yang bertanggung jawab atas hasil dari sistem yang dijalankan, sehingga tidak terjadi kekosongan tanggung jawab saat terjadi kesalahan sistem.
Dalam SPBE, konsep ini memastikan bahwa digitalisasi bukan sekadar otomatisasi, melainkan penguatan peran ASN dalam memberikan layanan publik yang berkualitas.</t>
        </is>
      </c>
      <c r="G37" s="15" t="n">
        <v>84.44</v>
      </c>
      <c r="H37" s="15" t="n">
        <v>25.44</v>
      </c>
      <c r="I37" s="15" t="n">
        <v>4.22</v>
      </c>
      <c r="J37" s="15" t="n">
        <v>84.44</v>
      </c>
      <c r="K37" s="15" t="n">
        <v>84.44</v>
      </c>
      <c r="L37" s="16" t="n">
        <v>0.1556</v>
      </c>
      <c r="M37" s="16" t="n">
        <v>0.1556</v>
      </c>
      <c r="N37" s="15" t="n">
        <v>15.56</v>
      </c>
      <c r="O37" s="18" t="inlineStr">
        <is>
          <t>FAILED</t>
        </is>
      </c>
      <c r="P37" s="16" t="n">
        <v>0.8444</v>
      </c>
    </row>
    <row r="38">
      <c r="A38" s="12" t="n">
        <v>30</v>
      </c>
      <c r="B38" s="13" t="inlineStr">
        <is>
          <t>Analisis</t>
        </is>
      </c>
      <c r="C38" s="13" t="inlineStr">
        <is>
          <t>google/gemma-4-26b-a4b-it:free</t>
        </is>
      </c>
      <c r="D38" s="14" t="inlineStr">
        <is>
          <t>Apa peran kepemimpinan digital (digital leadership) dalam transformasi instansi?</t>
        </is>
      </c>
      <c r="E38" s="14" t="inlineStr">
        <is>
          <t>Mengarahkan visi, budaya, dan keputusan strategis agar transformasi digital berjalan efektif.</t>
        </is>
      </c>
      <c r="F38" s="14" t="inlineStr">
        <is>
          <t>Peran kepemimpinan digital (*digital leadership*) dalam transformasi instansi adalah sebagai berikut:
1.  **Pengambil Kebijakan Strategis:** Menetapkan visi, arah, dan strategi transformasi digital yang selaras dengan Rencana Induk SPBE Instansi.
2.  **Katalisator Perubahan Budaya:** Mengubah pola pikir (*mindset*) birokrasi dari cara kerja konvensional/silogisme ke arah budaya kerja digital yang kolaboratif dan berbasis data.
3.  **Pengelola Sumber Daya:** Memastikan ketersediaan anggaran, infrastruktur, dan peningkatan kompetensi SDM Digital (literasi digital ASN).
4.  **Pengambil Keputusan Berbasis Data (*Data-Driven Decision Making*):** Mengintegrasikan sistem informasi untuk menghasilkan data yang akurat guna mendukung pengambilan keputusan yang cepat dan tepat.
5.  **Penjamin Tata Kelola:** Memastikan implementasi teknologi tetap berada dalam koridor regulasi, keamanan informasi, dan prinsip integrasi (interoperabilitas) antar unit kerja.</t>
        </is>
      </c>
      <c r="G38" s="15" t="n">
        <v>100</v>
      </c>
      <c r="H38" s="15" t="n">
        <v>6.2</v>
      </c>
      <c r="I38" s="15" t="n">
        <v>4.41</v>
      </c>
      <c r="J38" s="15" t="n">
        <v>88.17</v>
      </c>
      <c r="K38" s="15" t="n">
        <v>88.17</v>
      </c>
      <c r="L38" s="16" t="n">
        <v>0.1183</v>
      </c>
      <c r="M38" s="16" t="n">
        <v>0.1183</v>
      </c>
      <c r="N38" s="15" t="n">
        <v>11.83</v>
      </c>
      <c r="O38" s="17" t="inlineStr">
        <is>
          <t>PASSED</t>
        </is>
      </c>
      <c r="P38" s="16" t="n">
        <v>0.8817</v>
      </c>
    </row>
    <row r="39">
      <c r="A39" s="12" t="n">
        <v>31</v>
      </c>
      <c r="B39" s="13" t="inlineStr">
        <is>
          <t>Ekstraksi</t>
        </is>
      </c>
      <c r="C39" s="13" t="inlineStr">
        <is>
          <t>google/gemma-4-26b-a4b-it:free</t>
        </is>
      </c>
      <c r="D39" s="14" t="inlineStr">
        <is>
          <t>Sebutkan dua tujuan utama visitasi atau observasi lapangan dalam evaluasi Pemdi.</t>
        </is>
      </c>
      <c r="E39" s="14" t="inlineStr">
        <is>
          <t>Memvalidasi bukti yang disampaikan dan mengonfirmasi kondisi implementasi di lapangan.</t>
        </is>
      </c>
      <c r="F39" s="14" t="inlineStr">
        <is>
          <t>Dua tujuan utama visitasi atau observasi lapangan dalam evaluasi SPBE adalah:
1. **Verifikasi dan Validasi Data:** Memastikan kesesuaian antara bukti dukung (dokumen) yang diunggah dalam aplikasi evaluasi dengan kondisi riil/implementasi di lapangan.
2. **Konfirmasi dan Pendalaman:** Mengklarifikasi temuan, menggali informasi lebih mendalam mengenai kendala/proses bisnis, serta memastikan objektivitas penilaian terhadap tingkat kematangan SPBE.</t>
        </is>
      </c>
      <c r="G39" s="15" t="n">
        <v>100</v>
      </c>
      <c r="H39" s="15" t="n">
        <v>4.28</v>
      </c>
      <c r="I39" s="15" t="n">
        <v>4.46</v>
      </c>
      <c r="J39" s="15" t="n">
        <v>89.25</v>
      </c>
      <c r="K39" s="15" t="n">
        <v>89.25</v>
      </c>
      <c r="L39" s="16" t="n">
        <v>0.1075</v>
      </c>
      <c r="M39" s="16" t="n">
        <v>0.1075</v>
      </c>
      <c r="N39" s="15" t="n">
        <v>10.75</v>
      </c>
      <c r="O39" s="17" t="inlineStr">
        <is>
          <t>PASSED</t>
        </is>
      </c>
      <c r="P39" s="16" t="n">
        <v>0.8925</v>
      </c>
    </row>
    <row r="40">
      <c r="A40" s="12" t="n">
        <v>32</v>
      </c>
      <c r="B40" s="13" t="inlineStr">
        <is>
          <t>Analisis</t>
        </is>
      </c>
      <c r="C40" s="13" t="inlineStr">
        <is>
          <t>google/gemma-4-26b-a4b-it:free</t>
        </is>
      </c>
      <c r="D40" s="14" t="inlineStr">
        <is>
          <t>Mengapa redundansi data antarinstansi dianggap masalah dalam pemerintahan?</t>
        </is>
      </c>
      <c r="E40" s="14" t="inlineStr">
        <is>
          <t>Menyebabkan inkonsistensi, pemborosan, dan menyulitkan integrasi layanan.</t>
        </is>
      </c>
      <c r="F40" s="14" t="inlineStr">
        <is>
          <t>Redundansi data antarinstansi dianggap masalah karena:
1.  **Inefisiensi Anggaran:** Pemborosan biaya infrastruktur, penyimpanan (*storage*), dan pemeliharaan untuk data yang sama.
2.  **Ketidakakuratan Data:** Risiko perbedaan informasi (data tidak sinkron) antar instansi yang menghambat pengambilan keputusan berbasis data (*data-driven policy*).
3.eg **Hambatan Interoperabilitas:** Sulitnya pertukaran data karena format dan struktur yang berbeda-beda, menghambat integrasi sistem nasional.
4.  **Inefisiensi Pelayanan:** Masyarakat harus menginput data yang sama berulang kali (tidak ada prinsip *once-only principle*), yang memperlambat birokrasi.
5.n **Risiko Keamanan:** Memperluas permukaan serangan (*attack surface*); semakin banyak salinan data yang tersebar, semakin tinggi risiko kebocoran data.
**Dasar Regulasi:** Perpres No. 92 Tahun 2020 tentang Satu Data Indonesia dan Perpres No. 95 Tahun 2018 tentang SPBE.</t>
        </is>
      </c>
      <c r="G40" s="15" t="n">
        <v>100</v>
      </c>
      <c r="H40" s="15" t="n">
        <v>23.43</v>
      </c>
      <c r="I40" s="15" t="n">
        <v>4.3</v>
      </c>
      <c r="J40" s="15" t="n">
        <v>86.06</v>
      </c>
      <c r="K40" s="15" t="n">
        <v>86.06</v>
      </c>
      <c r="L40" s="16" t="n">
        <v>0.1394</v>
      </c>
      <c r="M40" s="16" t="n">
        <v>0.1394</v>
      </c>
      <c r="N40" s="15" t="n">
        <v>13.94</v>
      </c>
      <c r="O40" s="17" t="inlineStr">
        <is>
          <t>PASSED</t>
        </is>
      </c>
      <c r="P40" s="16" t="n">
        <v>0.8606</v>
      </c>
    </row>
    <row r="41">
      <c r="A41" s="12" t="n">
        <v>33</v>
      </c>
      <c r="B41" s="13" t="inlineStr">
        <is>
          <t>Faktual</t>
        </is>
      </c>
      <c r="C41" s="13" t="inlineStr">
        <is>
          <t>google/gemma-4-26b-a4b-it:free</t>
        </is>
      </c>
      <c r="D41" s="14" t="inlineStr">
        <is>
          <t>Apa fungsi forum data dalam koordinasi antar-unit penyelenggara?</t>
        </is>
      </c>
      <c r="E41" s="14" t="inlineStr">
        <is>
          <t>Wadah koordinasi untuk menyepakati standar, berbagi pakai, dan pemanfaatan data.</t>
        </is>
      </c>
      <c r="F41" s="14" t="inlineStr">
        <is>
          <t>Fungsi utama **Forum Data** dalam koordinasi antar-unit penyelenggara adalah:
1.  **Sinkronisasi dan Harmonisasi:** Menyelaraskan standar, metadata, dan struktur data antar-instansi agar data dapat dipertukarkan secara interoperabel.
2._ **Penyelesaian Masalah (Problem Solving):** Menjadi wadah untuk mengatasi kendala teknis maupun administratif terkait integrasi dan berbagi pakai data.
3. **Validasi dan Verifikasi:** Memastikan kualitas, akurasi, dan keakuratan data yang akan dibagikan antar-unit.
4. **Pengambilan Keputusan:** Menyediakan basis data yang terintegrasi untuk mendukung kebijakan berbasis data (*data-driven policy*) di tingkat nasional/daerah.</t>
        </is>
      </c>
      <c r="G41" s="15" t="n">
        <v>100</v>
      </c>
      <c r="H41" s="15" t="n">
        <v>17.61</v>
      </c>
      <c r="I41" s="15" t="n">
        <v>4.35</v>
      </c>
      <c r="J41" s="15" t="n">
        <v>86.95999999999999</v>
      </c>
      <c r="K41" s="15" t="n">
        <v>86.95999999999999</v>
      </c>
      <c r="L41" s="16" t="n">
        <v>0.1304</v>
      </c>
      <c r="M41" s="16" t="n">
        <v>0.1304</v>
      </c>
      <c r="N41" s="15" t="n">
        <v>13.04</v>
      </c>
      <c r="O41" s="17" t="inlineStr">
        <is>
          <t>PASSED</t>
        </is>
      </c>
      <c r="P41" s="16" t="n">
        <v>0.8696</v>
      </c>
    </row>
    <row r="42">
      <c r="A42" s="12" t="n">
        <v>34</v>
      </c>
      <c r="B42" s="13" t="inlineStr">
        <is>
          <t>Faktual</t>
        </is>
      </c>
      <c r="C42" s="13" t="inlineStr">
        <is>
          <t>google/gemma-4-26b-a4b-it:free</t>
        </is>
      </c>
      <c r="D42" s="14" t="inlineStr">
        <is>
          <t>Secara umum, apa itu manajemen risiko pada layanan digital?</t>
        </is>
      </c>
      <c r="E42" s="14" t="inlineStr">
        <is>
          <t>Proses mengidentifikasi, menilai, dan mengendalikan risiko terhadap keberlangsungan layanan.</t>
        </is>
      </c>
      <c r="F42" s="14" t="inlineStr">
        <is>
          <t>Manajemen risiko pada layanan digital adalah proses sistematis untuk **mengidentifikasi, menganalisis, mengevaluasi, dan memitigasi** potensi ancaman yang dapat mengganggu ketersediaan, integritas, dan kerahasiaan layanan.
Dalam konteks SPBE, tujuannya adalah:
1. **Menjamin keberlangsungan layanan** (Business Continuity).
2. **Melindungi aset informasi** dari serangan siber atau kerusakan teknis.
3. **Memastikan kepatuhan** terhadap regulasi keamanan informasi (seperti Peraturan BSSN atau standar ISO 27001).
4. **Meminimalkan dampak negatif** terhadap operasional pemerintah dan kepercayaan masyarakat.</t>
        </is>
      </c>
      <c r="G42" s="15" t="n">
        <v>100</v>
      </c>
      <c r="H42" s="15" t="n">
        <v>23.32</v>
      </c>
      <c r="I42" s="15" t="n">
        <v>4.4</v>
      </c>
      <c r="J42" s="15" t="n">
        <v>88.08</v>
      </c>
      <c r="K42" s="15" t="n">
        <v>88.08</v>
      </c>
      <c r="L42" s="16" t="n">
        <v>0.1192</v>
      </c>
      <c r="M42" s="16" t="n">
        <v>0.1192</v>
      </c>
      <c r="N42" s="15" t="n">
        <v>11.92</v>
      </c>
      <c r="O42" s="17" t="inlineStr">
        <is>
          <t>PASSED</t>
        </is>
      </c>
      <c r="P42" s="16" t="n">
        <v>0.8808</v>
      </c>
    </row>
    <row r="43">
      <c r="A43" s="12" t="n">
        <v>35</v>
      </c>
      <c r="B43" s="13" t="inlineStr">
        <is>
          <t>Faktual</t>
        </is>
      </c>
      <c r="C43" s="13" t="inlineStr">
        <is>
          <t>google/gemma-4-26b-a4b-it:free</t>
        </is>
      </c>
      <c r="D43" s="14" t="inlineStr">
        <is>
          <t>Apa yang dimaksud dengan manajemen perubahan dalam organisasi digital?</t>
        </is>
      </c>
      <c r="E43" s="14" t="inlineStr">
        <is>
          <t>Pendekatan terstruktur mengelola transisi orang, proses, dan teknologi agar perubahan berhasil diadopsi.</t>
        </is>
      </c>
      <c r="F43" s="14" t="inlineStr">
        <is>
          <t>**Manajemen perubahan** dalam organisasi digital adalah pendekatan sistematis untuk mengelola transisi dari budaya dan proses kerja konvensional menuju budaya berbasis teknologi informasi.
Fokus utamanya meliputi:
1. **Transformasi Budaya:** Mengubah pola pikir (*mindset*) SDM agar adaptif terhadap teknologi.
2. **Adaptasi Kompetensi:** Peningkatan keterampilan digital (*digital skills*) pegawai.
3. **Mitigasi Resistensi:** Mengurangi penolakan terhadap implementasi sistem/aplikasi baru.
4. **Optimasi Proses:** Menyelaraskan struktur organisasi dengan alur kerja digital guna mencapai efisiensi dan tata kelola yang lebih baik (sesuai prinsip SPBE).</t>
        </is>
      </c>
      <c r="G43" s="15" t="n">
        <v>100</v>
      </c>
      <c r="H43" s="15" t="n">
        <v>5.16</v>
      </c>
      <c r="I43" s="15" t="n">
        <v>4.32</v>
      </c>
      <c r="J43" s="15" t="n">
        <v>86.40000000000001</v>
      </c>
      <c r="K43" s="15" t="n">
        <v>86.40000000000001</v>
      </c>
      <c r="L43" s="16" t="n">
        <v>0.136</v>
      </c>
      <c r="M43" s="16" t="n">
        <v>0.136</v>
      </c>
      <c r="N43" s="15" t="n">
        <v>13.6</v>
      </c>
      <c r="O43" s="17" t="inlineStr">
        <is>
          <t>PASSED</t>
        </is>
      </c>
      <c r="P43" s="16" t="n">
        <v>0.864</v>
      </c>
    </row>
    <row r="44">
      <c r="A44" s="12" t="n">
        <v>36</v>
      </c>
      <c r="B44" s="13" t="inlineStr">
        <is>
          <t>Evaluatif</t>
        </is>
      </c>
      <c r="C44" s="13" t="inlineStr">
        <is>
          <t>google/gemma-4-26b-a4b-it:free</t>
        </is>
      </c>
      <c r="D44" s="14" t="inlineStr">
        <is>
          <t>Mengapa keterlibatan kelompok rentan penting dalam desain layanan publik?</t>
        </is>
      </c>
      <c r="E44" s="14" t="inlineStr">
        <is>
          <t>Untuk memastikan inklusivitas dan aksesibilitas layanan bagi disabilitas, lansia, dan kelompok lain.</t>
        </is>
      </c>
      <c r="F44" s="14" t="inlineStr">
        <is>
          <t>Keterlibatan kelompok rentan (disabilitas, lansia, anak-anak, dan masyarakat di daerah terpencil) dalam desain layanan publik penting karena:
1.  **Prinsip Inklusivitas:** Memastikan layanan dapat diakses oleh seluruh lapisan masyarakat tanpa diskriminasi (sesuai amanat UU No. 25 Tahun 2009 tentang Pelayanan Publik).
2.  **Aksesibilitas Digital:** Menjamin desain antarmuka (UI/UX) dan fitur layanan mengakomodasi keterbatasan fisik atau kognitif (sesuai standar aksesibilitas SPBE).
3.  **Akurasi Kebutuhan:** Menghindari kesalahan desain yang membuat layanan sulit digunakan, sehingga mencegah terjadinya kesenjangan digital (*digital divide*).
4.  **Efektivitas dan Efisiensi:** Mengurangi biaya perbaikan sistem di masa depan karena kebutuhan spesifik pengguna sudah terpenuhi sejak tahap desain (*user-centered design*).</t>
        </is>
      </c>
      <c r="G44" s="15" t="n">
        <v>100</v>
      </c>
      <c r="H44" s="15" t="n">
        <v>6.41</v>
      </c>
      <c r="I44" s="15" t="n">
        <v>4.35</v>
      </c>
      <c r="J44" s="15" t="n">
        <v>86.91</v>
      </c>
      <c r="K44" s="15" t="n">
        <v>86.91</v>
      </c>
      <c r="L44" s="16" t="n">
        <v>0.1309</v>
      </c>
      <c r="M44" s="16" t="n">
        <v>0.1309</v>
      </c>
      <c r="N44" s="15" t="n">
        <v>13.09</v>
      </c>
      <c r="O44" s="17" t="inlineStr">
        <is>
          <t>PASSED</t>
        </is>
      </c>
      <c r="P44" s="16" t="n">
        <v>0.8691</v>
      </c>
    </row>
    <row r="45">
      <c r="A45" s="12" t="n">
        <v>37</v>
      </c>
      <c r="B45" s="13" t="inlineStr">
        <is>
          <t>Faktual</t>
        </is>
      </c>
      <c r="C45" s="13" t="inlineStr">
        <is>
          <t>google/gemma-4-26b-a4b-it:free</t>
        </is>
      </c>
      <c r="D45" s="14" t="inlineStr">
        <is>
          <t>Apa peran chatbot atau widget umpan balik dalam layanan digital?</t>
        </is>
      </c>
      <c r="E45" s="14" t="inlineStr">
        <is>
          <t>Menyediakan kanal interaksi dan masukan pengguna secara langsung untuk perbaikan layanan.</t>
        </is>
      </c>
      <c r="F45" s="14" t="inlineStr">
        <is>
          <t>Dalam kerangka tata kelola SPBE, chatbot dan widget umpan balik memiliki peran sebagai berikut:
1.  **Meningkatkan Kualitas Layanan (Service Quality):** Memberikan respon cepat (real-time) terhadap pertanyaan pengguna, sehingga meningkatkan kepuasan masyarakat terhadap layanan digital pemerintah.
2.  **Saluran Partisipasi Publik:** Menjadi instrumen untuk menjaring aspirasi, keluhan, dan saran secara digital, sesuai dengan prinsip keterbukaan informasi.
3.  **Dasar Evaluasi dan Perbaikan (Continuous Improvement):** Data dari umpan balik berfungsi sebagai input untuk evaluasi layanan dan dasar pengambilan kebijakan dalam pengembangan sistem/fitur baru.
4.  **Efisiensi Operasional:** Mengurangi beban kerja admin/petugas layanan (helpdesk) dengan mengotomatisasi jawaban atas pertanyaan yang bersifat repetitif (FAQ).</t>
        </is>
      </c>
      <c r="G45" s="15" t="n">
        <v>100</v>
      </c>
      <c r="H45" s="15" t="n">
        <v>6.27</v>
      </c>
      <c r="I45" s="15" t="n">
        <v>4.37</v>
      </c>
      <c r="J45" s="15" t="n">
        <v>87.48999999999999</v>
      </c>
      <c r="K45" s="15" t="n">
        <v>87.48999999999999</v>
      </c>
      <c r="L45" s="16" t="n">
        <v>0.1251</v>
      </c>
      <c r="M45" s="16" t="n">
        <v>0.1251</v>
      </c>
      <c r="N45" s="15" t="n">
        <v>12.51</v>
      </c>
      <c r="O45" s="17" t="inlineStr">
        <is>
          <t>PASSED</t>
        </is>
      </c>
      <c r="P45" s="16" t="n">
        <v>0.8749</v>
      </c>
    </row>
    <row r="46">
      <c r="A46" s="12" t="n">
        <v>38</v>
      </c>
      <c r="B46" s="13" t="inlineStr">
        <is>
          <t>Faktual</t>
        </is>
      </c>
      <c r="C46" s="13" t="inlineStr">
        <is>
          <t>google/gemma-4-26b-a4b-it:free</t>
        </is>
      </c>
      <c r="D46" s="14" t="inlineStr">
        <is>
          <t>Jelaskan secara umum apa itu analisis sentimen pengguna.</t>
        </is>
      </c>
      <c r="E46" s="14" t="inlineStr">
        <is>
          <t>Teknik menilai opini/emosi pengguna dari teks untuk mengukur kepuasan terhadap layanan.</t>
        </is>
      </c>
      <c r="F46" s="14" t="inlineStr">
        <is>
          <t>**Analisis sentimen pengguna** adalah teknik pemrosesan bahasa alami (*Natural Language Processing*) untuk mengidentifikasi, mengekstraksi, dan mengklasifikasikan opini, sikap, atau emosi pengguna dalam bentuk teks (seperti komentar, keluhan, atau ulasan).
Dalam konteks SPBE, analisis ini digunakan untuk:
1. **Mengukur kepuasan masyarakat** terhadap layanan publik digital.
2. **Mendeteksi keluhan atau kendala** penggunaan aplikasi pemerintah secara *real-time*.
3. **Evaluasi kebijakan** berdasarkan persepsi publik di media sosial atau kanal pengaduan.</t>
        </is>
      </c>
      <c r="G46" s="15" t="n">
        <v>100</v>
      </c>
      <c r="H46" s="15" t="n">
        <v>4.46</v>
      </c>
      <c r="I46" s="15" t="n">
        <v>4.42</v>
      </c>
      <c r="J46" s="15" t="n">
        <v>88.42</v>
      </c>
      <c r="K46" s="15" t="n">
        <v>88.42</v>
      </c>
      <c r="L46" s="16" t="n">
        <v>0.1158</v>
      </c>
      <c r="M46" s="16" t="n">
        <v>0.1158</v>
      </c>
      <c r="N46" s="15" t="n">
        <v>11.58</v>
      </c>
      <c r="O46" s="17" t="inlineStr">
        <is>
          <t>PASSED</t>
        </is>
      </c>
      <c r="P46" s="16" t="n">
        <v>0.8842</v>
      </c>
    </row>
    <row r="47">
      <c r="A47" s="12" t="n">
        <v>39</v>
      </c>
      <c r="B47" s="13" t="inlineStr">
        <is>
          <t>Faktual</t>
        </is>
      </c>
      <c r="C47" s="13" t="inlineStr">
        <is>
          <t>google/gemma-4-26b-a4b-it:free</t>
        </is>
      </c>
      <c r="D47" s="14" t="inlineStr">
        <is>
          <t>Apa yang dimaksud dengan Infrastruktur Informasi Vital?</t>
        </is>
      </c>
      <c r="E47" s="14" t="inlineStr">
        <is>
          <t>Sistem/aset informasi yang sangat penting sehingga gangguannya berdampak luas dan perlu pelindungan khusus.</t>
        </is>
      </c>
      <c r="F47" s="14" t="inlineStr">
        <is>
          <t>**Infrastruktur Informasi Vital (IIV)** adalah aset informasi dan aset fisik yang sangat penting bagi negara, yang jika terganggu, rusak, atau hancur, akan berdampak signifikan pada:
1.  **Keamanan Nasional;**
2.  **Pertahanan Negara;**
3.  **Ekonomi Nasional;**
4.  **Kesehatan Masyarakat;** atau
5.  **Ketertiban Umum/Layanan Publik.**
Dalam konteks SPBE, pengelolaan IIV bertujuan untuk menjamin ketersediaan, keandalan, dan keamanan layanan kritis pemerintah dari ancaman siber atau gangguan teknis.</t>
        </is>
      </c>
      <c r="G47" s="15" t="n">
        <v>100</v>
      </c>
      <c r="H47" s="15" t="n">
        <v>6.08</v>
      </c>
      <c r="I47" s="15" t="n">
        <v>4.34</v>
      </c>
      <c r="J47" s="15" t="n">
        <v>86.76000000000001</v>
      </c>
      <c r="K47" s="15" t="n">
        <v>86.76000000000001</v>
      </c>
      <c r="L47" s="16" t="n">
        <v>0.1324</v>
      </c>
      <c r="M47" s="16" t="n">
        <v>0.1324</v>
      </c>
      <c r="N47" s="15" t="n">
        <v>13.24</v>
      </c>
      <c r="O47" s="17" t="inlineStr">
        <is>
          <t>PASSED</t>
        </is>
      </c>
      <c r="P47" s="16" t="n">
        <v>0.8676</v>
      </c>
    </row>
    <row r="48">
      <c r="A48" s="12" t="n">
        <v>40</v>
      </c>
      <c r="B48" s="13" t="inlineStr">
        <is>
          <t>Evaluatif</t>
        </is>
      </c>
      <c r="C48" s="13" t="inlineStr">
        <is>
          <t>google/gemma-4-26b-a4b-it:free</t>
        </is>
      </c>
      <c r="D48" s="14" t="inlineStr">
        <is>
          <t>Apa manfaat dashboard publik untuk transparansi kinerja layanan?</t>
        </is>
      </c>
      <c r="E48" s="14" t="inlineStr">
        <is>
          <t>Memberi akuntabilitas, memudahkan pemantauan publik, dan mendorong perbaikan berbasis data.</t>
        </is>
      </c>
      <c r="F48" s="14" t="inlineStr">
        <is>
          <t>Manfaat dashboard publik untuk transparansi kinerja layanan dalam kerangka SPBE adalah:
1.  **Aksesibilitas Data:** Memudahkan masyarakat memantau realisasi kinerja pemerintah secara *real-time*.
2.  **Akuntabilitas Publik:** Meningkatkan kepercayaan masyarakat melalui penyajian data kinerja yang terbuka dan dapat dipertanggungjawabkan.
3.  an **Evaluasi Objektif:** Menyediakan dasar data (evidence-based) bagi masyarakat untuk mengawasi kualitas pelayanan publik.
4.  **Partisipasi Publik:** Mendorong keterlibatan masyarakat dalam pengawasan penyelenggaraan pemerintahan.
5.  **Pengambilan Keputusan:** Memberikan informasi visual yang mudah dipahami bagi pemangku kepentingan untuk perbaikan layanan berkelanjutan.</t>
        </is>
      </c>
      <c r="G48" s="15" t="n">
        <v>100</v>
      </c>
      <c r="H48" s="15" t="n">
        <v>12.05</v>
      </c>
      <c r="I48" s="15" t="n">
        <v>4.35</v>
      </c>
      <c r="J48" s="15" t="n">
        <v>86.97</v>
      </c>
      <c r="K48" s="15" t="n">
        <v>86.97</v>
      </c>
      <c r="L48" s="16" t="n">
        <v>0.1303</v>
      </c>
      <c r="M48" s="16" t="n">
        <v>0.1303</v>
      </c>
      <c r="N48" s="15" t="n">
        <v>13.03</v>
      </c>
      <c r="O48" s="17" t="inlineStr">
        <is>
          <t>PASSED</t>
        </is>
      </c>
      <c r="P48" s="16" t="n">
        <v>0.8697</v>
      </c>
    </row>
    <row r="49">
      <c r="A49" s="12" t="n">
        <v>41</v>
      </c>
      <c r="B49" s="13" t="inlineStr">
        <is>
          <t>Faktual</t>
        </is>
      </c>
      <c r="C49" s="13" t="inlineStr">
        <is>
          <t>google/gemma-4-26b-a4b-it:free</t>
        </is>
      </c>
      <c r="D49" s="14" t="inlineStr">
        <is>
          <t>Apa yang dimaksud dengan Penanganan Insiden Siber dalam Pemerintah Digital?</t>
        </is>
      </c>
      <c r="E49" s="14" t="inlineStr">
        <is>
          <t>Penanganan Insiden Siber adalah kemampuan dalam mendeteksi, merespons, dan menangani insiden keamanan siber secara terstruktur untuk menjaga keamanan dan keberlangsungan layanan Pemerintah Digital.</t>
        </is>
      </c>
      <c r="F49" s="14" t="inlineStr">
        <is>
          <t>**Penanganan Insiden Siber dalam Pemerintah Digital** adalah serangkaian tindakan sistematis untuk mendeteksi, mengidentifikasi, merespons, dan memulihkan sistem informasi dari gangguan, serangan, atau pelanggaran keamanan siber guna menjaga ketersediaan, keutuhan, dan kerahasiaan data pemerintah.
Berdasarkan tata kelola SPBE, penanganan ini mencakup:
1. **Deteksi:** Mengidentifikasi adanya anomali atau serangan.
2. **Respon:** Mengambil tindakan cepat untuk menghentikan serangan (containment).
3. **Pemulihan (Recovery):** Mengembalikan fungsi layanan/sistem ke kondisi normal.
4. **Evaluasi:** Melakukan analisis pasca-insiden untuk mencegah terulangnya kejadian serupa.
Kegiatan ini dilaksanakan melalui koordinasi antara unit pengelola teknologi informasi dengan **BSSN** (Badan Siber dan Sandi Negara) sebagai otoritas keamanan siber nasional.</t>
        </is>
      </c>
      <c r="G49" s="15" t="n">
        <v>100</v>
      </c>
      <c r="H49" s="15" t="n">
        <v>13.43</v>
      </c>
      <c r="I49" s="15" t="n">
        <v>4.49</v>
      </c>
      <c r="J49" s="15" t="n">
        <v>89.88</v>
      </c>
      <c r="K49" s="15" t="n">
        <v>89.88</v>
      </c>
      <c r="L49" s="16" t="n">
        <v>0.1012</v>
      </c>
      <c r="M49" s="16" t="n">
        <v>0.1012</v>
      </c>
      <c r="N49" s="15" t="n">
        <v>10.12</v>
      </c>
      <c r="O49" s="17" t="inlineStr">
        <is>
          <t>PASSED</t>
        </is>
      </c>
      <c r="P49" s="16" t="n">
        <v>0.8988</v>
      </c>
    </row>
    <row r="50">
      <c r="A50" s="12" t="n">
        <v>42</v>
      </c>
      <c r="B50" s="13" t="inlineStr">
        <is>
          <t>Faktual</t>
        </is>
      </c>
      <c r="C50" s="13" t="inlineStr">
        <is>
          <t>google/gemma-4-26b-a4b-it:free</t>
        </is>
      </c>
      <c r="D50" s="14" t="inlineStr">
        <is>
          <t>Apa yang dimaksud dengan Informasi Geospasial dan perannya dalam layanan digital pemerintah?</t>
        </is>
      </c>
      <c r="E50" s="14" t="inlineStr">
        <is>
          <t>Informasi Geospasial adalah data yang memiliki informasi lokasi di permukaan bumi dan digunakan untuk mendukung perencanaan, pengambilan keputusan, dan layanan pemerintah berbasis lokasi.</t>
        </is>
      </c>
      <c r="F50" s="14" t="inlineStr">
        <is>
          <t>**Informasi Geospasial (IG)** adalah data yang memiliki referensi posisi (koordinat) di permukaan bumi, baik dalam bentuk citra, peta, maupun data atribut lainnya.
**Peran dalam Layanan Digital Pemerintah:**
1. **Akurasi Lokasi:** Memastikan layanan berbasis lokasi (seperti perizinan tata ruang atau bantuan sosial) tepat sasaran secara geografis.
2. **Pengambilan Keputusan Berbasis Spasial:** Mendukung perencanaan wilayah dan mitigasi bencana melalui visualisasi data spasial.
3.thought
&lt;channel|&gt;**Informasi Geospasial (IG)** adalah data yang memiliki referensi posisi (koordinat) di permukaan bumi, baik berupa citra, peta, maupun data atribut lainnya.
**Peran dalam Layanan Digital Pemerintah:**
1. **Ketepatan Sasaran:** Menjamin akurasi lokasi dalam layanan seperti penyaluran bantuan sosial agar tepat sasaran secara geografis.
2.. **Perencanaan Wilayah:** Mendukung pengambilan keputusan berbasis spasial untuk tata ruang, infrastruktur, dan mitigasi bencana.
3. **Integrasi Data (Geoportal):** Menjadi fondasi *Satu Data Indonesia* agar koordinat antar instansi selaras (tidak tumpang tindih).</t>
        </is>
      </c>
      <c r="G50" s="15" t="n">
        <v>100</v>
      </c>
      <c r="H50" s="15" t="n">
        <v>31.64</v>
      </c>
      <c r="I50" s="15" t="n">
        <v>4.37</v>
      </c>
      <c r="J50" s="15" t="n">
        <v>87.34</v>
      </c>
      <c r="K50" s="15" t="n">
        <v>87.34</v>
      </c>
      <c r="L50" s="16" t="n">
        <v>0.1266</v>
      </c>
      <c r="M50" s="16" t="n">
        <v>0.1266</v>
      </c>
      <c r="N50" s="15" t="n">
        <v>12.66</v>
      </c>
      <c r="O50" s="17" t="inlineStr">
        <is>
          <t>PASSED</t>
        </is>
      </c>
      <c r="P50" s="16" t="n">
        <v>0.8734</v>
      </c>
    </row>
    <row r="51">
      <c r="A51" s="12" t="n">
        <v>43</v>
      </c>
      <c r="B51" s="13" t="inlineStr">
        <is>
          <t>Ekstraksi</t>
        </is>
      </c>
      <c r="C51" s="13" t="inlineStr">
        <is>
          <t>google/gemma-4-26b-a4b-it:free</t>
        </is>
      </c>
      <c r="D51" s="14" t="inlineStr">
        <is>
          <t>Sebutkan tiga aktivitas yang termasuk dalam tata kelola digital instansi pemerintah.</t>
        </is>
      </c>
      <c r="E51" s="14" t="inlineStr">
        <is>
          <t>Perencanaan, pelaksanaan, dan pengendalian transformasi digital.</t>
        </is>
      </c>
      <c r="F51" s="14" t="inlineStr">
        <is>
          <t>Berdasarkan kerangka kerja tata kelola SPBE, tiga aktivitas utama dalam tata kelola digital instansi pemerintah adalah:
1. **Perencanaan Strategis Digital**: Penyusunan peta jalan (*roadmap*), kerangka kerja, dan rencana aksi transformasi digital.
2. **Penetapan Kebijakan dan Standar**: Penyusunan regulasi internal, standar operasional prosedur (SOP), dan pedoman penggunaan teknologi informasi.
3. **Pemantauan dan Evaluasi**: Pengawasan berkelanjutan terhadap implementasi teknologi, keamanan informasi, serta pengukuran tingkat kematangan digital.</t>
        </is>
      </c>
      <c r="G51" s="15" t="n">
        <v>100</v>
      </c>
      <c r="H51" s="15" t="n">
        <v>7.58</v>
      </c>
      <c r="I51" s="15" t="n">
        <v>4.46</v>
      </c>
      <c r="J51" s="15" t="n">
        <v>89.2</v>
      </c>
      <c r="K51" s="15" t="n">
        <v>89.2</v>
      </c>
      <c r="L51" s="16" t="n">
        <v>0.108</v>
      </c>
      <c r="M51" s="16" t="n">
        <v>0.108</v>
      </c>
      <c r="N51" s="15" t="n">
        <v>10.8</v>
      </c>
      <c r="O51" s="17" t="inlineStr">
        <is>
          <t>PASSED</t>
        </is>
      </c>
      <c r="P51" s="16" t="n">
        <v>0.892</v>
      </c>
    </row>
    <row r="52">
      <c r="A52" s="12" t="n">
        <v>44</v>
      </c>
      <c r="B52" s="13" t="inlineStr">
        <is>
          <t>Analisis</t>
        </is>
      </c>
      <c r="C52" s="13" t="inlineStr">
        <is>
          <t>google/gemma-4-26b-a4b-it:free</t>
        </is>
      </c>
      <c r="D52" s="14" t="inlineStr">
        <is>
          <t>Mengapa konsolidasi pusat data nasional dilakukan banyak negara?</t>
        </is>
      </c>
      <c r="E52" s="14" t="inlineStr">
        <is>
          <t>Untuk efisiensi biaya, standardisasi keamanan, dan integrasi layanan lintas instansi.</t>
        </is>
      </c>
      <c r="F52" s="14" t="inlineStr">
        <is>
          <t>Konsolidasi Pusat Data Nasional (PDN) dilakukan banyak negara karena alasan berikut:
1.  **Efisiensi Anggaran:** Mengurangi pemborosan belanja negara akibat pengadaan perangkat keras (*hardware*) dan infrastruktur yang berulang-ulang di setiap instansi.
2.  **Interoperabilitas Data:** Memudahkan pertukaran data antar-instansi pemerintah sehingga integrasi data menjadi lebih cepat dan akurat.
3.  **Keamanan Siber:** Memudahkan pengawasan, standarisasi protokol keamanan, dan memperkuat pertahanan terhadap serangan siber dalam satu titik kontrol.
4.  **Skalabilitas &amp; Efisiensi Operasional:** Memudahkan pemeliharaan (*maintenance*), pembaruan sistem, dan pengelolaan kapasitas penyimpanan secara terpusat.
5.  **Kedaulatan Data:** Memastikan seluruh data strategis negara dikelola secara mandiri dan aman di bawah kendali pemerintah nasional.</t>
        </is>
      </c>
      <c r="G52" s="15" t="n">
        <v>84.62</v>
      </c>
      <c r="H52" s="15" t="n">
        <v>5.73</v>
      </c>
      <c r="I52" s="15" t="n">
        <v>4.23</v>
      </c>
      <c r="J52" s="15" t="n">
        <v>84.62</v>
      </c>
      <c r="K52" s="15" t="n">
        <v>84.62</v>
      </c>
      <c r="L52" s="16" t="n">
        <v>0.1538</v>
      </c>
      <c r="M52" s="16" t="n">
        <v>0.1538</v>
      </c>
      <c r="N52" s="15" t="n">
        <v>15.38</v>
      </c>
      <c r="O52" s="18" t="inlineStr">
        <is>
          <t>FAILED</t>
        </is>
      </c>
      <c r="P52" s="16" t="n">
        <v>0.8462</v>
      </c>
    </row>
    <row r="53">
      <c r="A53" s="12" t="n">
        <v>45</v>
      </c>
      <c r="B53" s="13" t="inlineStr">
        <is>
          <t>Faktual</t>
        </is>
      </c>
      <c r="C53" s="13" t="inlineStr">
        <is>
          <t>google/gemma-4-26b-a4b-it:free</t>
        </is>
      </c>
      <c r="D53" s="14" t="inlineStr">
        <is>
          <t>Apa yang dimaksud dengan co-creation dalam pengembangan kebijakan digital?</t>
        </is>
      </c>
      <c r="E53" s="14" t="inlineStr">
        <is>
          <t>Pelibatan aktif berbagai pemangku kepentingan dalam merancang solusi/layanan bersama.</t>
        </is>
      </c>
      <c r="F53" s="14" t="inlineStr">
        <is>
          <t>Dalam konteks pengembangan kebijakan digital, **co-creation** adalah proses kolaborasi partisipatif antara pemerintah dengan pemangku kepentingan (masyarakat, akademisi, sektor swasta, dan komunitas) dalam merancang, menyusun, dan menentukan solusi digital.
**Inti dari co-creation:**
1.  **Kolaborasi Multi-pihak:** Tidak lagi bersifat *top-down*, melainkan melibatkan pengguna akhir sejak tahap perencanaan.
2.  **Inklusivitas:** Memastikan kebijakan relevan dengan kebutuhan nyata pengguna di lapangan.
3.  **Nilai Tambah:** Menciptakan inovasi layanan publik digital yang lebih tepat guna, adaptif, dan memiliki tingkat penerimaan (*user adoption*) yang tinggi.
Dalam kerangka SPBE, *co-creation* bertujuan untuk memastikan integrasi sistem dan layanan digital tidak hanya efisien secara teknis, tetapi juga bermanfaat secara sosial dan ekonomi bagi seluruh lapisan masyarakat.</t>
        </is>
      </c>
      <c r="G53" s="15" t="n">
        <v>100</v>
      </c>
      <c r="H53" s="15" t="n">
        <v>10.9</v>
      </c>
      <c r="I53" s="15" t="n">
        <v>4.27</v>
      </c>
      <c r="J53" s="15" t="n">
        <v>85.34999999999999</v>
      </c>
      <c r="K53" s="15" t="n">
        <v>85.34999999999999</v>
      </c>
      <c r="L53" s="16" t="n">
        <v>0.1465</v>
      </c>
      <c r="M53" s="16" t="n">
        <v>0.1465</v>
      </c>
      <c r="N53" s="15" t="n">
        <v>14.65</v>
      </c>
      <c r="O53" s="17" t="inlineStr">
        <is>
          <t>PASSED</t>
        </is>
      </c>
      <c r="P53" s="16" t="n">
        <v>0.8535</v>
      </c>
    </row>
    <row r="54">
      <c r="A54" s="12" t="n">
        <v>46</v>
      </c>
      <c r="B54" s="13" t="inlineStr">
        <is>
          <t>Faktual</t>
        </is>
      </c>
      <c r="C54" s="13" t="inlineStr">
        <is>
          <t>google/gemma-4-26b-a4b-it:free</t>
        </is>
      </c>
      <c r="D54" s="14" t="inlineStr">
        <is>
          <t>Jelaskan konsep 'single sign-on' pada portal layanan pemerintah.</t>
        </is>
      </c>
      <c r="E54" s="14" t="inlineStr">
        <is>
          <t>Mekanisme satu kali autentikasi untuk mengakses banyak layanan terhubung.</t>
        </is>
      </c>
      <c r="F54" s="14" t="inlineStr">
        <is>
          <t>Konsep **Single Sign-On (SSO)** pada portal layanan pemerintah adalah mekanisme autentikasi terpusat yang memungkinkan pengguna (masyarakat atau ASN) untuk mengakses berbagai aplikasi layanan pemerintah yang berbeda hanya dengan menggunakan **satu set kredensial** (satu *username* dan satu *password*).
**Poin Utama:**
1.  **Efisiensi Pengguna:** Pengguna tidak perlu menghafal banyak akun untuk setiap aplikasi pemerintah yang berbeda.
2.  **Interoperabilitas:** Menghubungkan berbagai sistem aplikasi (silos) agar dapat saling mengenali identitas pengguna yang sama.
3.  **Pusat Identitas:** Menggunakan satu identitas digital yang sah sebagai kunci masuk ke seluruh ekosistem layanan digital pemerintah.
4.  **Keamanan:** Memudahkan kontrol akses dan audit keamanan karena manajemen akun terpusat di satu gerbang utama.
Dalam kerangka SPBE, SSO merupakan komponen kunci dalam penerapan **Identitas Digital Nasional** untuk mewujudkan layanan pemerintah yang terintegrasi dan tidak terfragmentasi.</t>
        </is>
      </c>
      <c r="G54" s="15" t="n">
        <v>100</v>
      </c>
      <c r="H54" s="15" t="n">
        <v>8.74</v>
      </c>
      <c r="I54" s="15" t="n">
        <v>4.37</v>
      </c>
      <c r="J54" s="15" t="n">
        <v>87.45</v>
      </c>
      <c r="K54" s="15" t="n">
        <v>87.45</v>
      </c>
      <c r="L54" s="16" t="n">
        <v>0.1255</v>
      </c>
      <c r="M54" s="16" t="n">
        <v>0.1255</v>
      </c>
      <c r="N54" s="15" t="n">
        <v>12.55</v>
      </c>
      <c r="O54" s="17" t="inlineStr">
        <is>
          <t>PASSED</t>
        </is>
      </c>
      <c r="P54" s="16" t="n">
        <v>0.8745000000000001</v>
      </c>
    </row>
    <row r="55">
      <c r="A55" s="12" t="n">
        <v>47</v>
      </c>
      <c r="B55" s="13" t="inlineStr">
        <is>
          <t>Analisis</t>
        </is>
      </c>
      <c r="C55" s="13" t="inlineStr">
        <is>
          <t>google/gemma-4-26b-a4b-it:free</t>
        </is>
      </c>
      <c r="D55" s="14" t="inlineStr">
        <is>
          <t>Mengapa penerapan standar data menjadi kunci keberhasilan Satu Data Indonesia?</t>
        </is>
      </c>
      <c r="E55" s="14" t="inlineStr">
        <is>
          <t>Karena tanpa standar yang seragam, data antar instansi menjadi inkonsisten dan sulit diintegrasikan secara nasional.</t>
        </is>
      </c>
      <c r="F55" s="14" t="inlineStr">
        <is>
          <t>Penerapan standar data menjadi kunci keberhasilan Satu Data Indonesia karena alasan berikut:
1.  **Interoperabilitas Data:** Memungkinkan pertukaran data antar Instansi Pemerintah yang berbeda tanpa kendala format.
2.  -**Integrasi Data:** Menjamin data dapat digabungkan dari berbagai sumber untuk menghasilkan informasi yang utuh.
3.  **Akurasi dan Konsistensi:** Menghindari duplikasi dan perbedaan interpretasi data (ambiguitas) antar instansi.
4.  -**Efisiensi Birokrasi:** Mempercepat proses pengambilan keputusan berbasis data (*data-driven policy*) karena data sudah seragam dan siap pakai.
**Dasar Regulasi:** Perpres No. 39 Tahun 2019 tentang Satu Data Indonesia.</t>
        </is>
      </c>
      <c r="G55" s="15" t="n">
        <v>100</v>
      </c>
      <c r="H55" s="15" t="n">
        <v>14.71</v>
      </c>
      <c r="I55" s="15" t="n">
        <v>4.25</v>
      </c>
      <c r="J55" s="15" t="n">
        <v>85.03</v>
      </c>
      <c r="K55" s="15" t="n">
        <v>85.03</v>
      </c>
      <c r="L55" s="16" t="n">
        <v>0.1497</v>
      </c>
      <c r="M55" s="16" t="n">
        <v>0.1497</v>
      </c>
      <c r="N55" s="15" t="n">
        <v>14.97</v>
      </c>
      <c r="O55" s="17" t="inlineStr">
        <is>
          <t>PASSED</t>
        </is>
      </c>
      <c r="P55" s="16" t="n">
        <v>0.8502999999999999</v>
      </c>
    </row>
    <row r="56">
      <c r="A56" s="12" t="n">
        <v>48</v>
      </c>
      <c r="B56" s="13" t="inlineStr">
        <is>
          <t>Evaluatif</t>
        </is>
      </c>
      <c r="C56" s="13" t="inlineStr">
        <is>
          <t>google/gemma-4-26b-a4b-it:free</t>
        </is>
      </c>
      <c r="D56" s="14" t="inlineStr">
        <is>
          <t>Mengapa pendekatan berbasis bukti (evidence-based) penting dalam evaluasi kinerja?</t>
        </is>
      </c>
      <c r="E56" s="14" t="inlineStr">
        <is>
          <t>Agar penilaian objektif, dapat diverifikasi, dan rekomendasi perbaikannya tepat sasaran.</t>
        </is>
      </c>
      <c r="F56" s="14" t="inlineStr">
        <is>
          <t>Pendekatan berbasis bukti (*evidence-based*) penting dalam evaluasi kinerja SPBE karena:
1.  **Objektivitas:** Menghindari penilaian subjektif atau asumsi, sehingga hasil evaluasi mencerminkan kondisi riil di lapangan.
2.  **Akuntabilitas:** Menyediakan basis data yang valid untuk mempertanggungjawabkan penggunaan anggaran dan sumber daya pemerintah.
3.  **Pengambilan Keputusan Tepat:** Memungkinkan pimpinan mengambil kebijakan perbaikan (seperti pengalokasian sumber daya atau perbaikan layanan) berdasarkan data yang akurat.
4.  **Pengukuran Efektivitas:** Menjadi parameter yang terukur untuk mengetahui sejauh mana implementasi SPBE telah mencapai target yang ditetapkan dalam regulasi.</t>
        </is>
      </c>
      <c r="G56" s="15" t="n">
        <v>100</v>
      </c>
      <c r="H56" s="15" t="n">
        <v>12.03</v>
      </c>
      <c r="I56" s="15" t="n">
        <v>4.26</v>
      </c>
      <c r="J56" s="15" t="n">
        <v>85.17</v>
      </c>
      <c r="K56" s="15" t="n">
        <v>85.17</v>
      </c>
      <c r="L56" s="16" t="n">
        <v>0.1483</v>
      </c>
      <c r="M56" s="16" t="n">
        <v>0.1483</v>
      </c>
      <c r="N56" s="15" t="n">
        <v>14.83</v>
      </c>
      <c r="O56" s="17" t="inlineStr">
        <is>
          <t>PASSED</t>
        </is>
      </c>
      <c r="P56" s="16" t="n">
        <v>0.8517</v>
      </c>
    </row>
    <row r="57">
      <c r="A57" s="12" t="n">
        <v>49</v>
      </c>
      <c r="B57" s="13" t="inlineStr">
        <is>
          <t>Faktual</t>
        </is>
      </c>
      <c r="C57" s="13" t="inlineStr">
        <is>
          <t>google/gemma-4-26b-a4b-it:free</t>
        </is>
      </c>
      <c r="D57" s="14" t="inlineStr">
        <is>
          <t>Apa yang dimaksud dengan budaya tertib arsip digital?</t>
        </is>
      </c>
      <c r="E57" s="14" t="inlineStr">
        <is>
          <t>Kebiasaan mengelola arsip secara digital dan terstruktur sebagai basis pemanfaatan data.</t>
        </is>
      </c>
      <c r="F57" s="14" t="inlineStr">
        <is>
          <t>**Budaya tertib arsip digital** adalah perilaku atau kebiasaan seluruh aparatur sipil negara (ASN) dan pemangku kepentingan dalam melakukan pengelolaan arsip secara elektronik dengan prinsip **kebenaran, keautentikan, keutuhan, dan keterpakaian** sesuai dengan standar regulasi.
Inti dari budaya ini meliputi:
1. **Penciptaan:** Pembuatan dokumen elektronik secara sistematis.
2. **Penyimpanan:** Penggunaan aplikasi kearsipan resmi (seperti SRIKANDI) sebagai pusat data.
3. **Pengamanan:** Menjaga kerahasiaan dan integritas data digital.
4. **Pemanfaatan:** Kemudahan akses kembali dokumen untuk mendukung pengambilan keputusan dan pelayanan publik secara cepat dan efisien.</t>
        </is>
      </c>
      <c r="G57" s="15" t="n">
        <v>100</v>
      </c>
      <c r="H57" s="15" t="n">
        <v>18.86</v>
      </c>
      <c r="I57" s="15" t="n">
        <v>4.35</v>
      </c>
      <c r="J57" s="15" t="n">
        <v>87.08</v>
      </c>
      <c r="K57" s="15" t="n">
        <v>87.08</v>
      </c>
      <c r="L57" s="16" t="n">
        <v>0.1292</v>
      </c>
      <c r="M57" s="16" t="n">
        <v>0.1292</v>
      </c>
      <c r="N57" s="15" t="n">
        <v>12.92</v>
      </c>
      <c r="O57" s="17" t="inlineStr">
        <is>
          <t>PASSED</t>
        </is>
      </c>
      <c r="P57" s="16" t="n">
        <v>0.8708</v>
      </c>
    </row>
    <row r="58">
      <c r="A58" s="12" t="n">
        <v>50</v>
      </c>
      <c r="B58" s="13" t="inlineStr">
        <is>
          <t>Ekstraksi</t>
        </is>
      </c>
      <c r="C58" s="13" t="inlineStr">
        <is>
          <t>google/gemma-4-26b-a4b-it:free</t>
        </is>
      </c>
      <c r="D58" s="14" t="inlineStr">
        <is>
          <t>Sebutkan tiga unsur yang perlu diselaraskan dalam tata kelola digital pemerintah.</t>
        </is>
      </c>
      <c r="E58" s="14" t="inlineStr">
        <is>
          <t>Kebijakan, proses bisnis, dan teknologi informasi.</t>
        </is>
      </c>
      <c r="F58" s="14" t="inlineStr">
        <is>
          <t>Tiga unsur yang perlu diselaraskan dalam tata kelola digital pemerintah adalah:
1. **Proses Bisnis** (Alur kerja/tata kerja instansi);
2. **Data** (Integrasi dan interoperabilitas data); dan
3. **Teknologi Informasi** (Infrastruktur, aplikasi, dan keamanan siber).</t>
        </is>
      </c>
      <c r="G58" s="15" t="n">
        <v>100</v>
      </c>
      <c r="H58" s="15" t="n">
        <v>7.02</v>
      </c>
      <c r="I58" s="15" t="n">
        <v>4.56</v>
      </c>
      <c r="J58" s="15" t="n">
        <v>91.19</v>
      </c>
      <c r="K58" s="15" t="n">
        <v>91.19</v>
      </c>
      <c r="L58" s="16" t="n">
        <v>0.0881</v>
      </c>
      <c r="M58" s="16" t="n">
        <v>0.0881</v>
      </c>
      <c r="N58" s="15" t="n">
        <v>8.81</v>
      </c>
      <c r="O58" s="17" t="inlineStr">
        <is>
          <t>PASSED</t>
        </is>
      </c>
      <c r="P58" s="16" t="n">
        <v>0.9119</v>
      </c>
    </row>
    <row r="59">
      <c r="A59" s="12" t="n">
        <v>51</v>
      </c>
      <c r="B59" s="13" t="inlineStr">
        <is>
          <t>Jebakan (out-of-scope/halusinasi)</t>
        </is>
      </c>
      <c r="C59" s="13" t="inlineStr">
        <is>
          <t>google/gemma-4-26b-a4b-it:free</t>
        </is>
      </c>
      <c r="D59" s="14" t="inlineStr">
        <is>
          <t>Berapa tepatnya nilai Indeks Pemdi nasional resmi tahun 2027?</t>
        </is>
      </c>
      <c r="E59" s="14" t="inlineStr">
        <is>
          <t>Model seharusnya menyatakan data belum tersedia/di luar jangkauan dan tidak mengarang angka.</t>
        </is>
      </c>
      <c r="F59" s="14" t="inlineStr">
        <is>
          <t>Nilai Indeks SPBE nasional tahun 2027 **belum dapat ditentukan secara pasti** karena saat ini merupakan target/sasaran dalam rencana strategis masa depan. Nilai tersebut baru akan diketahui setelah dilakukan evaluasi resmi oleh Kementerian PANRB pada tahun 2027.</t>
        </is>
      </c>
      <c r="G59" s="15" t="n">
        <v>100</v>
      </c>
      <c r="H59" s="15" t="n">
        <v>8.869999999999999</v>
      </c>
      <c r="I59" s="15" t="n">
        <v>4.28</v>
      </c>
      <c r="J59" s="15" t="n">
        <v>85.61</v>
      </c>
      <c r="K59" s="15" t="n">
        <v>85.61</v>
      </c>
      <c r="L59" s="16" t="n">
        <v>0.1439</v>
      </c>
      <c r="M59" s="16" t="n">
        <v>0.1439</v>
      </c>
      <c r="N59" s="15" t="n">
        <v>14.39</v>
      </c>
      <c r="O59" s="17" t="inlineStr">
        <is>
          <t>PASSED</t>
        </is>
      </c>
      <c r="P59" s="16" t="n">
        <v>0.8561</v>
      </c>
    </row>
    <row r="60">
      <c r="A60" s="12" t="n">
        <v>52</v>
      </c>
      <c r="B60" s="13" t="inlineStr">
        <is>
          <t>Jebakan (faithfulness/halusinasi)</t>
        </is>
      </c>
      <c r="C60" s="13" t="inlineStr">
        <is>
          <t>google/gemma-4-26b-a4b-it:free</t>
        </is>
      </c>
      <c r="D60" s="14" t="inlineStr">
        <is>
          <t>Sebutkan bobot persis ke-20 indikator Indeks Pemdi tanpa melihat dokumen apa pun.</t>
        </is>
      </c>
      <c r="E60" s="14" t="inlineStr">
        <is>
          <t>Tanpa dokumen, model seharusnya menyatakan tidak dapat memastikan bobot resmi dan menyarankan merujuk dokumen.</t>
        </is>
      </c>
      <c r="F60" s="14" t="inlineStr">
        <is>
          <t>Mohon maaf, terdapat kekeliruan pada istilah yang Anda gunakan. Dalam kerangka kerja SPBE di Indonesia, istilah yang baku adalah **Indeks SPBE** (Indeks Sistem Pemerintahan Berbasis Elektronik), bukan "Indeks Pemdi".
Berdasarkan **Peraturan Menteri Pendayagunaan Aparatur Negara dan Reformasi Birokrasi (PANRB) Nomor 4 Tahun 2019**, Indeks SPBE diukur melalui 4 domain dengan total **44 indikator**.
Karena pertanyaan Anda merujuk pada "indikator ke-20", berikut adalah rinciannya:
**Indikator ke-20:** **Ketersediaan Perangkat Keras (Hardware)**
**Bobot:** **2** (Skala 1-5)
*Catatan: Bobot ini merupakan bagian dari Domain Infrastruktur SPBE.*</t>
        </is>
      </c>
      <c r="G60" s="15" t="n">
        <v>82.83</v>
      </c>
      <c r="H60" s="15" t="n">
        <v>10.96</v>
      </c>
      <c r="I60" s="15" t="n">
        <v>4.14</v>
      </c>
      <c r="J60" s="15" t="n">
        <v>82.83</v>
      </c>
      <c r="K60" s="15" t="n">
        <v>82.83</v>
      </c>
      <c r="L60" s="16" t="n">
        <v>0.1717</v>
      </c>
      <c r="M60" s="16" t="n">
        <v>0.1717</v>
      </c>
      <c r="N60" s="15" t="n">
        <v>17.17</v>
      </c>
      <c r="O60" s="18" t="inlineStr">
        <is>
          <t>FAILED</t>
        </is>
      </c>
      <c r="P60" s="16" t="n">
        <v>0.8283</v>
      </c>
    </row>
    <row r="61">
      <c r="A61" s="12" t="n">
        <v>53</v>
      </c>
      <c r="B61" s="13" t="inlineStr">
        <is>
          <t>Jebakan (out-of-scope)</t>
        </is>
      </c>
      <c r="C61" s="13" t="inlineStr">
        <is>
          <t>google/gemma-4-26b-a4b-it:free</t>
        </is>
      </c>
      <c r="D61" s="14" t="inlineStr">
        <is>
          <t>Berapa skor Indeks Pemdi Provinsi Jawa Timur tahun 2026?</t>
        </is>
      </c>
      <c r="E61" s="14" t="inlineStr">
        <is>
          <t>Belum ada/di luar konteks; model seharusnya tidak mengarang dan menyatakan ketidaktersediaan data.</t>
        </is>
      </c>
      <c r="F61" s="14" t="inlineStr">
        <is>
          <t>Data skor Indeks Pemdi (Indeks Pematangan Digital) Provinsi Jawa Timur untuk tahun **2026 belum tersedia**, karena saat ini tahun berjalan belum mencapai tahun tersebut. Nilai indeks hanya dapat diketahui setelah dilakukan evaluasi oleh instansi berwenang pada tahun yang bersangkutan.</t>
        </is>
      </c>
      <c r="G61" s="15" t="n">
        <v>100</v>
      </c>
      <c r="H61" s="15" t="n">
        <v>3.53</v>
      </c>
      <c r="I61" s="15" t="n">
        <v>4.25</v>
      </c>
      <c r="J61" s="15" t="n">
        <v>85.09999999999999</v>
      </c>
      <c r="K61" s="15" t="n">
        <v>85.09999999999999</v>
      </c>
      <c r="L61" s="16" t="n">
        <v>0.149</v>
      </c>
      <c r="M61" s="16" t="n">
        <v>0.149</v>
      </c>
      <c r="N61" s="15" t="n">
        <v>14.9</v>
      </c>
      <c r="O61" s="17" t="inlineStr">
        <is>
          <t>PASSED</t>
        </is>
      </c>
      <c r="P61" s="16" t="n">
        <v>0.851</v>
      </c>
    </row>
    <row r="62">
      <c r="A62" s="12" t="n">
        <v>54</v>
      </c>
      <c r="B62" s="13" t="inlineStr">
        <is>
          <t>Jebakan (out-of-scope)</t>
        </is>
      </c>
      <c r="C62" s="13" t="inlineStr">
        <is>
          <t>google/gemma-4-26b-a4b-it:free</t>
        </is>
      </c>
      <c r="D62" s="14" t="inlineStr">
        <is>
          <t>Tanggal berapa persisnya Perpres Pemerintah Digital akan diundangkan?</t>
        </is>
      </c>
      <c r="E62" s="14" t="inlineStr">
        <is>
          <t>Masih berupa draf; model seharusnya menyatakan tanggal pasti belum diketahui.</t>
        </is>
      </c>
      <c r="F62" s="14" t="inlineStr">
        <is>
          <t>Hingga saat ini, **belum ada tanggal pasti** mengenai pengundangan Perpres tentang Pemerintah Digital (yang merupakan transformasi dari Perpres 95/2018 tentang SPBE). 
Status regulasi tersebut saat ini masih dalam tahap **penyusunan atau pembahasan** oleh pemerintah.</t>
        </is>
      </c>
      <c r="G62" s="15" t="n">
        <v>84.8</v>
      </c>
      <c r="H62" s="15" t="n">
        <v>4.54</v>
      </c>
      <c r="I62" s="15" t="n">
        <v>4.24</v>
      </c>
      <c r="J62" s="15" t="n">
        <v>84.8</v>
      </c>
      <c r="K62" s="15" t="n">
        <v>84.8</v>
      </c>
      <c r="L62" s="16" t="n">
        <v>0.152</v>
      </c>
      <c r="M62" s="16" t="n">
        <v>0.152</v>
      </c>
      <c r="N62" s="15" t="n">
        <v>15.2</v>
      </c>
      <c r="O62" s="18" t="inlineStr">
        <is>
          <t>FAILED</t>
        </is>
      </c>
      <c r="P62" s="16" t="n">
        <v>0.848</v>
      </c>
    </row>
    <row r="63">
      <c r="A63" s="12" t="n">
        <v>55</v>
      </c>
      <c r="B63" s="13" t="inlineStr">
        <is>
          <t>Jebakan (halusinasi)</t>
        </is>
      </c>
      <c r="C63" s="13" t="inlineStr">
        <is>
          <t>google/gemma-4-26b-a4b-it:free</t>
        </is>
      </c>
      <c r="D63" s="14" t="inlineStr">
        <is>
          <t>Siapa nama lengkap seluruh anggota Tim Asesor Eksternal Pemdi nasional?</t>
        </is>
      </c>
      <c r="E63" s="14" t="inlineStr">
        <is>
          <t>Tidak diketahui umum; model seharusnya menolak mengarang nama.</t>
        </is>
      </c>
      <c r="F63" s="14" t="inlineStr">
        <is>
          <t>Data mengenai nama lengkap seluruh anggota Tim Asesor Eksternal Pemdin (Penilaian Mandiri) nasional merupakan **informasi internal/rahasia** instansi terkait (biasanya di bawah koordinasi KemenPANRB atau BSSN) dan tidak dipublikasikan secara terbuka untuk umum dalam dokumen regulasi maupun publikasi umum.
Informasi tersebut tidak tersedia dalam basis data publik karena alasan keamanan dan kerahasiaan protokol evaluasi.</t>
        </is>
      </c>
      <c r="G63" s="15" t="n">
        <v>84.98</v>
      </c>
      <c r="H63" s="15" t="n">
        <v>14.57</v>
      </c>
      <c r="I63" s="15" t="n">
        <v>4.25</v>
      </c>
      <c r="J63" s="15" t="n">
        <v>84.98</v>
      </c>
      <c r="K63" s="15" t="n">
        <v>84.98</v>
      </c>
      <c r="L63" s="16" t="n">
        <v>0.1502</v>
      </c>
      <c r="M63" s="16" t="n">
        <v>0.1502</v>
      </c>
      <c r="N63" s="15" t="n">
        <v>15.02</v>
      </c>
      <c r="O63" s="18" t="inlineStr">
        <is>
          <t>FAILED</t>
        </is>
      </c>
      <c r="P63" s="16" t="n">
        <v>0.8498</v>
      </c>
    </row>
    <row r="64">
      <c r="A64" s="12" t="n">
        <v>56</v>
      </c>
      <c r="B64" s="13" t="inlineStr">
        <is>
          <t>Jebakan (out-of-scope)</t>
        </is>
      </c>
      <c r="C64" s="13" t="inlineStr">
        <is>
          <t>google/gemma-4-26b-a4b-it:free</t>
        </is>
      </c>
      <c r="D64" s="14" t="inlineStr">
        <is>
          <t>Berapa anggaran TIK pemerintah pusat tahun 2029 secara pasti?</t>
        </is>
      </c>
      <c r="E64" s="14" t="inlineStr">
        <is>
          <t>Belum tersedia; model seharusnya menyatakan ketidakpastian dan tidak mengarang.</t>
        </is>
      </c>
      <c r="F64" s="14" t="inlineStr">
        <is>
          <t>Tidak ada jawaban pasti. Anggaran TIK pemerintah pusat tahun 2029 belum ditentukan karena angka tersebut baru akan disusun dalam dokumen perencanaan (RPJPN/RPJMN) dan pagu indikatif pada tahun terkait melalui mekanisme penganggaran negara.</t>
        </is>
      </c>
      <c r="G64" s="15" t="n">
        <v>100</v>
      </c>
      <c r="H64" s="15" t="n">
        <v>144.72</v>
      </c>
      <c r="I64" s="15" t="n">
        <v>4.43</v>
      </c>
      <c r="J64" s="15" t="n">
        <v>88.51000000000001</v>
      </c>
      <c r="K64" s="15" t="n">
        <v>88.51000000000001</v>
      </c>
      <c r="L64" s="16" t="n">
        <v>0.1149</v>
      </c>
      <c r="M64" s="16" t="n">
        <v>0.1149</v>
      </c>
      <c r="N64" s="15" t="n">
        <v>11.49</v>
      </c>
      <c r="O64" s="17" t="inlineStr">
        <is>
          <t>PASSED</t>
        </is>
      </c>
      <c r="P64" s="16" t="n">
        <v>0.8851</v>
      </c>
    </row>
    <row r="65">
      <c r="A65" s="12" t="n">
        <v>57</v>
      </c>
      <c r="B65" s="13" t="inlineStr">
        <is>
          <t>Jebakan (out-of-scope)</t>
        </is>
      </c>
      <c r="C65" s="13" t="inlineStr">
        <is>
          <t>google/gemma-4-26b-a4b-it:free</t>
        </is>
      </c>
      <c r="D65" s="14" t="inlineStr">
        <is>
          <t>Apa hasil akhir evaluasi visitasi Kementerian X tahun ini?</t>
        </is>
      </c>
      <c r="E65" s="14" t="inlineStr">
        <is>
          <t>Tidak diketahui tanpa data; model seharusnya menyatakan tidak dapat menjawab.</t>
        </is>
      </c>
      <c r="F65" s="14" t="inlineStr">
        <is>
          <t>Sebagai AI, saya tidak memiliki akses langsung ke data internal atau laporan terbaru yang bersifat rahasia dari Kementerian X untuk tahun berjalan.
Untuk mendapatkan hasil akhir evaluasi visitasi tersebut, Anda dapat melakukan langkah berikut:
1.  **Cek Portal Resmi:** Buka situs web resmi Kementerian X atau portal khusus evaluasi SPBE kementerian tersebut.
2.  **Akses Dashboard SPBE:** Periksa dashboard evaluasi pada portal Sistem Pemerintahan Berbasis Elektronik (jika disediakan untuk publik/internal).
3.  **Hubungi Tim Penyelenggara:** Hubungi Unit Kerja Pengelola SPBE atau Biro Humas/Organisasi di kementerian terkait.
**Catatan:** Hasil evaluasi biasanya bersifat internal atau dipublikasikan melalui laporan kinerja tahunan setelah proses audit selesai secara menyeluruh.</t>
        </is>
      </c>
      <c r="G65" s="15" t="n">
        <v>82.12</v>
      </c>
      <c r="H65" s="15" t="n">
        <v>13.32</v>
      </c>
      <c r="I65" s="15" t="n">
        <v>4.11</v>
      </c>
      <c r="J65" s="15" t="n">
        <v>82.12</v>
      </c>
      <c r="K65" s="15" t="n">
        <v>82.12</v>
      </c>
      <c r="L65" s="16" t="n">
        <v>0.1788</v>
      </c>
      <c r="M65" s="16" t="n">
        <v>0.1788</v>
      </c>
      <c r="N65" s="15" t="n">
        <v>17.88</v>
      </c>
      <c r="O65" s="18" t="inlineStr">
        <is>
          <t>FAILED</t>
        </is>
      </c>
      <c r="P65" s="16" t="n">
        <v>0.8212</v>
      </c>
    </row>
    <row r="66">
      <c r="A66" s="12" t="n">
        <v>58</v>
      </c>
      <c r="B66" s="13" t="inlineStr">
        <is>
          <t>Jebakan (out-of-scope)</t>
        </is>
      </c>
      <c r="C66" s="13" t="inlineStr">
        <is>
          <t>google/gemma-4-26b-a4b-it:free</t>
        </is>
      </c>
      <c r="D66" s="14" t="inlineStr">
        <is>
          <t>Berapa jumlah persis simpul jaringan yang akan terhubung pada 2030?</t>
        </is>
      </c>
      <c r="E66" s="14" t="inlineStr">
        <is>
          <t>Di luar horizon dan tanpa data; model seharusnya tidak mengarang.</t>
        </is>
      </c>
      <c r="F66" s="14" t="inlineStr">
        <is>
          <t>Berdasarkan target **Rencana Aksi Nasional (RAN) SPBE** dan arah kebijakan transformasi digital pemerintah, target jumlah simpul jaringan (node) dalam arsitektur SPB Nasional pada tahun 2030 adalah **seluruh instansi pemerintah (Pusat dan Daerah) yang terintegrasi dalam satu jaringan nasional (Satu Data dan Satu Jaringan).**
Secara teknis, tidak ada angka numerik tunggal (seperti "100" atau "1000") yang ditetapkan dalam regulasi karena jumlah simpul bersifat dinamis mengikuti jumlah instansi pemerintah di Indonesia, namun target utamanya adalah **interoperabilitas penuh seluruh simpul instansi pemerintah.**</t>
        </is>
      </c>
      <c r="G66" s="15" t="n">
        <v>80.95999999999999</v>
      </c>
      <c r="H66" s="15" t="n">
        <v>4.75</v>
      </c>
      <c r="I66" s="15" t="n">
        <v>4.05</v>
      </c>
      <c r="J66" s="15" t="n">
        <v>80.95999999999999</v>
      </c>
      <c r="K66" s="15" t="n">
        <v>80.95999999999999</v>
      </c>
      <c r="L66" s="16" t="n">
        <v>0.1904</v>
      </c>
      <c r="M66" s="16" t="n">
        <v>0.1904</v>
      </c>
      <c r="N66" s="15" t="n">
        <v>19.04</v>
      </c>
      <c r="O66" s="18" t="inlineStr">
        <is>
          <t>FAILED</t>
        </is>
      </c>
      <c r="P66" s="16" t="n">
        <v>0.8096</v>
      </c>
    </row>
    <row r="67">
      <c r="A67" s="12" t="n">
        <v>59</v>
      </c>
      <c r="B67" s="13" t="inlineStr">
        <is>
          <t>Jebakan (faithfulness)</t>
        </is>
      </c>
      <c r="C67" s="13" t="inlineStr">
        <is>
          <t>google/gemma-4-26b-a4b-it:free</t>
        </is>
      </c>
      <c r="D67" s="14" t="inlineStr">
        <is>
          <t>Sebutkan isi Pasal 150 draf Perpres Pemerintah Digital.</t>
        </is>
      </c>
      <c r="E67" s="14" t="inlineStr">
        <is>
          <t>Pasal tersebut tidak diketahui ada; model seharusnya tidak mengarang isi pasal.</t>
        </is>
      </c>
      <c r="F67" s="14" t="inlineStr">
        <is>
          <t>Mohon maaf, hingga saat ini belum ada **Peraturan Presiden (Perpres) tentang Pemerintah Digital** yang telah ditetapkan/diundangkan. Yang ada saat ini adalah **Perpres Nomor 95 Tahun 2018 tentang Sistem Pemerintahan Berbasis Elektronik (SPBE)**.
Jika yang Anda maksud adalah **Rancangan Peraturan Presiden (Rancangan Perpres) tentang Pemerintah Digital**, isinya masih bersifat dinamis dalam proses legislasi dan belum menjadi produk hukum yang dapat dikutip secara resmi sebagai rujukan regulasi tetap.</t>
        </is>
      </c>
      <c r="G67" s="15" t="n">
        <v>83.58</v>
      </c>
      <c r="H67" s="15" t="n">
        <v>6.72</v>
      </c>
      <c r="I67" s="15" t="n">
        <v>4.18</v>
      </c>
      <c r="J67" s="15" t="n">
        <v>83.58</v>
      </c>
      <c r="K67" s="15" t="n">
        <v>83.58</v>
      </c>
      <c r="L67" s="16" t="n">
        <v>0.1642</v>
      </c>
      <c r="M67" s="16" t="n">
        <v>0.1642</v>
      </c>
      <c r="N67" s="15" t="n">
        <v>16.42</v>
      </c>
      <c r="O67" s="18" t="inlineStr">
        <is>
          <t>FAILED</t>
        </is>
      </c>
      <c r="P67" s="16" t="n">
        <v>0.8358</v>
      </c>
    </row>
    <row r="68">
      <c r="A68" s="12" t="n">
        <v>60</v>
      </c>
      <c r="B68" s="13" t="inlineStr">
        <is>
          <t>Jebakan (halusinasi)</t>
        </is>
      </c>
      <c r="C68" s="13" t="inlineStr">
        <is>
          <t>google/gemma-4-26b-a4b-it:free</t>
        </is>
      </c>
      <c r="D68" s="14" t="inlineStr">
        <is>
          <t>Berapa persen target kepuasan pengguna nasional yang dijamin tercapai 2028?</t>
        </is>
      </c>
      <c r="E68" s="14" t="inlineStr">
        <is>
          <t>Tidak ada jaminan angka pasti; model seharusnya menyatakan tidak dapat memastikan.</t>
        </is>
      </c>
      <c r="F68" s="14" t="inlineStr">
        <is>
          <t>Target kepuasan pengguna layanan SPBE nasional adalah sebesar **85%** pada tahun 2028.</t>
        </is>
      </c>
      <c r="G68" s="15" t="n">
        <v>84.12</v>
      </c>
      <c r="H68" s="15" t="n">
        <v>11.38</v>
      </c>
      <c r="I68" s="15" t="n">
        <v>4.21</v>
      </c>
      <c r="J68" s="15" t="n">
        <v>84.12</v>
      </c>
      <c r="K68" s="15" t="n">
        <v>84.12</v>
      </c>
      <c r="L68" s="16" t="n">
        <v>0.1588</v>
      </c>
      <c r="M68" s="16" t="n">
        <v>0.1588</v>
      </c>
      <c r="N68" s="15" t="n">
        <v>15.88</v>
      </c>
      <c r="O68" s="18" t="inlineStr">
        <is>
          <t>FAILED</t>
        </is>
      </c>
      <c r="P68" s="16" t="n">
        <v>0.8411999999999999</v>
      </c>
    </row>
    <row r="69">
      <c r="A69" s="12" t="n">
        <v>61</v>
      </c>
      <c r="B69" s="13" t="inlineStr">
        <is>
          <t>Faktual</t>
        </is>
      </c>
      <c r="C69" s="13" t="inlineStr">
        <is>
          <t>google/gemma-4-26b-a4b-it:free</t>
        </is>
      </c>
      <c r="D69" s="14" t="inlineStr">
        <is>
          <t>Jelaskan secara umum konsep 'manajemen pengetahuan'.</t>
        </is>
      </c>
      <c r="E69" s="14" t="inlineStr">
        <is>
          <t>Pengelolaan pengetahuan organisasi agar dapat dibagi dan digunakan ulang.</t>
        </is>
      </c>
      <c r="F69" s="14" t="inlineStr">
        <is>
          <t>Dalam konteks SPBE, **Manajemen Pengetahuan (*Knowledge Management*)** adalah proses sistematis untuk menangkap, mengorganisasi, menyimpan, membagikan, dan menggunakan pengetahuan (baik bersifat eksplisit maupun implisit) guna meningkatkan efektivitas organisasi.
**Tiga komponen utamanya:**
1.  **Pengetahuan Eksplisit:** Informasi yang sudah tertulis (dokumen, regulasi, SOP, database).
2.  **Pengetahuan Implisit:** Pengetahuan yang ada di kepala pegawai (pengalaman, keahlian, intuisi).
3.  **Proses Transformasi:** Upaya mengubah pengetahuan implisit menjadi eksplisit agar dapat diakses secara kolektif oleh seluruh instansi.
**Tujuan Utama:** Memastikan aset intelektual organisasi tetap terjaga, menghindari hilangnya pengetahuan saat terjadi rotasi pegawai, serta mempercepat pengambilan keputusan berbasis data dan pengalaman.</t>
        </is>
      </c>
      <c r="G69" s="15" t="n">
        <v>100</v>
      </c>
      <c r="H69" s="15" t="n">
        <v>16.96</v>
      </c>
      <c r="I69" s="15" t="n">
        <v>4.3</v>
      </c>
      <c r="J69" s="15" t="n">
        <v>86.03</v>
      </c>
      <c r="K69" s="15" t="n">
        <v>86.03</v>
      </c>
      <c r="L69" s="16" t="n">
        <v>0.1397</v>
      </c>
      <c r="M69" s="16" t="n">
        <v>0.1397</v>
      </c>
      <c r="N69" s="15" t="n">
        <v>13.97</v>
      </c>
      <c r="O69" s="17" t="inlineStr">
        <is>
          <t>PASSED</t>
        </is>
      </c>
      <c r="P69" s="16" t="n">
        <v>0.8603</v>
      </c>
    </row>
    <row r="70">
      <c r="A70" s="12" t="n">
        <v>62</v>
      </c>
      <c r="B70" s="13" t="inlineStr">
        <is>
          <t>Faktual</t>
        </is>
      </c>
      <c r="C70" s="13" t="inlineStr">
        <is>
          <t>google/gemma-4-26b-a4b-it:free</t>
        </is>
      </c>
      <c r="D70" s="14" t="inlineStr">
        <is>
          <t>Jelaskan secara umum konsep 'manajemen keberlangsungan layanan'.</t>
        </is>
      </c>
      <c r="E70" s="14" t="inlineStr">
        <is>
          <t>Upaya menjaga layanan tetap berjalan saat terjadi gangguan.</t>
        </is>
      </c>
      <c r="F70" s="14" t="inlineStr">
        <is>
          <t>**Manajemen Keberlangsungan Layanan** adalah bagian dari manajemen TI yang bertujuan untuk memastikan layanan SPBE tetap berjalan atau dapat segera pulih setelah terjadi gangguan, bencana, atau kegagalan teknis.
**Inti Konsep:**
1.  **Tujuan:** Menjamin ketersediaan layanan kritikal dan meminimalkan dampak negatif dari gangguan terhadap operasional pemerintah.
2.  **Ruang Lingkup:** Mencakup aspek teknis (infrastruktur, data), aspek proses (prosedur pemulihan), dan aspek SDM (kesiapan personel).
3.thought **Komponen Utama:**
   *   **Analisis Dampak Bisnis (*Business Impact Analysis*):** Mengidentifikasi layanan prioritas.
   *   **Strategi Pemulihan:** Perencanaan langkah-langkah untuk mengembalikan layanan.
   *  **Rencana Keberlangsungan (*Disaster Recovery Plan*):** Prosedur operasional saat terjadi kondisi darurat.
   *   **Pengujian:** Uji coba rutin untuk memastikan rencana pemulihan berjalan efektif.
**Landasan Regulasi:** Merupakan bagian dari manajemen layanan dalam tata kelola SPBE untuk menjamin aspek *availability* (ketersediaan) dan *reliability* (keandalan) layanan publik digital.</t>
        </is>
      </c>
      <c r="G70" s="15" t="n">
        <v>100</v>
      </c>
      <c r="H70" s="15" t="n">
        <v>86.84999999999999</v>
      </c>
      <c r="I70" s="15" t="n">
        <v>4.26</v>
      </c>
      <c r="J70" s="15" t="n">
        <v>85.3</v>
      </c>
      <c r="K70" s="15" t="n">
        <v>85.3</v>
      </c>
      <c r="L70" s="16" t="n">
        <v>0.147</v>
      </c>
      <c r="M70" s="16" t="n">
        <v>0.147</v>
      </c>
      <c r="N70" s="15" t="n">
        <v>14.7</v>
      </c>
      <c r="O70" s="17" t="inlineStr">
        <is>
          <t>PASSED</t>
        </is>
      </c>
      <c r="P70" s="16" t="n">
        <v>0.853</v>
      </c>
    </row>
    <row r="71">
      <c r="A71" s="12" t="n">
        <v>63</v>
      </c>
      <c r="B71" s="13" t="inlineStr">
        <is>
          <t>Analisis</t>
        </is>
      </c>
      <c r="C71" s="13" t="inlineStr">
        <is>
          <t>google/gemma-4-26b-a4b-it:free</t>
        </is>
      </c>
      <c r="D71" s="14" t="inlineStr">
        <is>
          <t>Bagaimana hubungan antara manajemen relasi pengguna dan kepuasan pengguna layanan digital pemerintah?</t>
        </is>
      </c>
      <c r="E71" s="14" t="inlineStr">
        <is>
          <t>Manajemen relasi pengguna mengelola interaksi dan masukan pengguna, sehingga mendukung peningkatan kepuasan layanan digital.</t>
        </is>
      </c>
      <c r="F71" s="14" t="inlineStr">
        <is>
          <t>Hubungan antara manajemen relasi pengguna (*User Relationship Management*) dan kepuasan pengguna dalam konteks SPBE adalah **hubungan kausalitas positif yang berbanding lurus**.
Berikut adalah poin inti hubungannya:
1.  **Fungsi Manajemen Relasi:** Manajemen relasi pengguna dalam layanan digital pemerintah berfungsi untuk memahami kebutuhan, mengelola keluhan (*complaint handling*), dan menyediakan saluran komunikasi yang responsif.
2.thought
3.  **Dampak terhadap Kepuasan:** 
    *   **Efektivitas Penanganan Masalah:** Penanganan keluhan yang cepat melalui kanal digital meningkatkan kepercayaan pengguna.
    an
    *   **Personalisasi Layanan:** Pemahaman terhadap perilaku pengguna memungkinkan penyempurnaan antarmuka (UI/UX) dan alur layanan (UX).
    *   **Partisipasi Pengguna:** Melibatkan pengguna dalam evaluasi layanan (seperti survei indeks kepuasan masyarakat digital) menciptakan rasa keterlibatan (*engagement*).
**Kesimpulan:** 
Manajemen relasi pengguna yang efektif merupakan **determinan utama** dalam meningkatkan tingkat kepuasan pengguna terhadap layanan digital pemerintah. Semakin baik interaksi dan responsivitas sistem terhadap kebutuhan pengguna, semakin tinggi tingkat kepuasan pengguna (indikator keberhasilan implementasi SPBE).</t>
        </is>
      </c>
      <c r="G71" s="15" t="n">
        <v>100</v>
      </c>
      <c r="H71" s="15" t="n">
        <v>35.57</v>
      </c>
      <c r="I71" s="15" t="n">
        <v>4.45</v>
      </c>
      <c r="J71" s="15" t="n">
        <v>88.98999999999999</v>
      </c>
      <c r="K71" s="15" t="n">
        <v>88.98999999999999</v>
      </c>
      <c r="L71" s="16" t="n">
        <v>0.1101</v>
      </c>
      <c r="M71" s="16" t="n">
        <v>0.1101</v>
      </c>
      <c r="N71" s="15" t="n">
        <v>11.01</v>
      </c>
      <c r="O71" s="17" t="inlineStr">
        <is>
          <t>PASSED</t>
        </is>
      </c>
      <c r="P71" s="16" t="n">
        <v>0.8899</v>
      </c>
    </row>
    <row r="72">
      <c r="A72" s="12" t="n">
        <v>64</v>
      </c>
      <c r="B72" s="13" t="inlineStr">
        <is>
          <t>Faktual</t>
        </is>
      </c>
      <c r="C72" s="13" t="inlineStr">
        <is>
          <t>google/gemma-4-26b-a4b-it:free</t>
        </is>
      </c>
      <c r="D72" s="14" t="inlineStr">
        <is>
          <t>Jelaskan secara umum konsep 'audit eksternal keamanan'.</t>
        </is>
      </c>
      <c r="E72" s="14" t="inlineStr">
        <is>
          <t>Audit oleh pihak independen di luar instansi untuk menilai keamanan.</t>
        </is>
      </c>
      <c r="F72" s="14" t="inlineStr">
        <is>
          <t>**Audit eksternal keamanan** adalah proses evaluasi independen terhadap sistem informasi, infrastruktur teknologi, dan manajemen keamanan informasi suatu organisasi untuk mengukur efektivitas pengendalian keamanan.
Dalam konteks SPBE, poin utamanya adalah:
1.  **Tujuan:** Menilai tingkat kepatuhan terhadap standar keamanan (seperti ISO/IEC 27001) dan memastikan perlindungan data serta integritas sistem dari ancaman siber.
2.  **Pelaksana:** Dilakukan oleh pihak ketiga yang independen (di luar tim pengelola IT internal) untuk menjamin objektivitas dan transparansi hasil.
3.  **Cakupan:** Meliputi pemeriksaan teknis (seperti *penetration testing*), pemeriksaan administratif (kebijakan/prosedur), dan pemeriksaan fisik.
4.  **Output:** Laporan temuan berupa identifikasi celah keamanan (*vulnerability*) dan rekomendasi perbaikan untuk memitigasi risiko keamanan informasi.</t>
        </is>
      </c>
      <c r="G72" s="15" t="n">
        <v>100</v>
      </c>
      <c r="H72" s="15" t="n">
        <v>16.76</v>
      </c>
      <c r="I72" s="15" t="n">
        <v>4.32</v>
      </c>
      <c r="J72" s="15" t="n">
        <v>86.3</v>
      </c>
      <c r="K72" s="15" t="n">
        <v>86.3</v>
      </c>
      <c r="L72" s="16" t="n">
        <v>0.137</v>
      </c>
      <c r="M72" s="16" t="n">
        <v>0.137</v>
      </c>
      <c r="N72" s="15" t="n">
        <v>13.7</v>
      </c>
      <c r="O72" s="17" t="inlineStr">
        <is>
          <t>PASSED</t>
        </is>
      </c>
      <c r="P72" s="16" t="n">
        <v>0.863</v>
      </c>
    </row>
    <row r="73">
      <c r="A73" s="12" t="n">
        <v>65</v>
      </c>
      <c r="B73" s="13" t="inlineStr">
        <is>
          <t>Faktual</t>
        </is>
      </c>
      <c r="C73" s="13" t="inlineStr">
        <is>
          <t>google/gemma-4-26b-a4b-it:free</t>
        </is>
      </c>
      <c r="D73" s="14" t="inlineStr">
        <is>
          <t>Jelaskan secara umum konsep 'audit internal keamanan'.</t>
        </is>
      </c>
      <c r="E73" s="14" t="inlineStr">
        <is>
          <t>Audit oleh tim di dalam instansi untuk menilai kontrol keamanan.</t>
        </is>
      </c>
      <c r="F73" s="14" t="inlineStr">
        <is>
          <t>**Audit internal keamanan** dalam konteks SPBE adalah proses evaluasi sistematis, independen, dan terukur terhadap kontrol keamanan informasi di dalam suatu instansi pemerintah.
**Tujuan Utama:**
1. **Memastikan Kepatuhan:** Menilai kesesuaian penerapan keamanan informasi dengan regulasi (seperti Peraturan BSSN atau standar ISO/IEC 27001).
2. **Identifikasi Celah:** Mendeteksi kerentanan, risiko, dan ancaman pada infrastruktur, aplikasi, maupun prosedur tata kelola data.
3. **Evaluasi Efektivitas:** Mengukur sejauh mana kebijakan dan kontrol keamanan yang ada mampu melindungi aset informasi dari ancaman siber.
**Ruang Lingkup:**
*   **Aspek Teknis:** Keamanan jaringan, server, database, dan aplikasi.
*   **Aspek Administratif:** Kebijakan (SOP), manajemen akses, dan manajemen risiko.
*   **Aspek Fisik:** Keamanan perangkat keras dan fasilitas pusat data (*data center*).
**Output:**
Laporan hasil audit yang berisi temuan (celah keamanan) serta rekomendasi perbaikan untuk memperkuat postur keamanan informasi instansi.</t>
        </is>
      </c>
      <c r="G73" s="15" t="n">
        <v>100</v>
      </c>
      <c r="H73" s="15" t="n">
        <v>17.13</v>
      </c>
      <c r="I73" s="15" t="n">
        <v>4.32</v>
      </c>
      <c r="J73" s="15" t="n">
        <v>86.43000000000001</v>
      </c>
      <c r="K73" s="15" t="n">
        <v>86.43000000000001</v>
      </c>
      <c r="L73" s="16" t="n">
        <v>0.1357</v>
      </c>
      <c r="M73" s="16" t="n">
        <v>0.1357</v>
      </c>
      <c r="N73" s="15" t="n">
        <v>13.57</v>
      </c>
      <c r="O73" s="17" t="inlineStr">
        <is>
          <t>PASSED</t>
        </is>
      </c>
      <c r="P73" s="16" t="n">
        <v>0.8643</v>
      </c>
    </row>
    <row r="74">
      <c r="A74" s="12" t="n">
        <v>66</v>
      </c>
      <c r="B74" s="13" t="inlineStr">
        <is>
          <t>Faktual</t>
        </is>
      </c>
      <c r="C74" s="13" t="inlineStr">
        <is>
          <t>google/gemma-4-26b-a4b-it:free</t>
        </is>
      </c>
      <c r="D74" s="14" t="inlineStr">
        <is>
          <t>Jelaskan secara umum konsep 'data at-rest, in-use, dan in-transit'.</t>
        </is>
      </c>
      <c r="E74" s="14" t="inlineStr">
        <is>
          <t>Kondisi data saat disimpan, digunakan, dan dipertukarkan.</t>
        </is>
      </c>
      <c r="F74" s="14" t="inlineStr">
        <is>
          <t>Dalam konteks keamanan informasi dan tata kelola data (termasuk dalam kerangka SPBE), berikut adalah penjelasannya:
1.  **Data at-Rest (Data Diam):** Data yang tersimpan secara fisik atau digital dalam media penyimpanan (seperti *hard drive*, SSD, database, atau *cloud storage*) dan tidak sedang berpindah atau diproses.
    *   *Fokus Perlindungan:* Enkripsi penyimpanan dan kontrol akses fisik/logis.
2.  **Data in-Transit (Data dalam Perjalanan):** Data yang sedang berpindah dari satu lokasi ke lokasi lain melalui jaringan komunikasi (seperti pengiriman email, transfer file, atau komunikasi antar-server melalui internet/intranet).
    *   *Fokus Perlindungan:* Enkripsi jalur komunikasi (misalnya menggunakan protokol HTTPS, TLS, atau VPN).
3.  **Data in-Use (Data dalam Penggunaan):** Data yang sedang aktif diproses oleh CPU atau disimpan dalam memori (RAM) untuk keperluan komputasi atau ditampilkan kepada pengguna.
    *   *Fokus Perlindungan:* Kontrol akses memori, isolasi proses, dan pencegahan kebocoran data saat proses komputasi berlangsung.</t>
        </is>
      </c>
      <c r="G74" s="15" t="n">
        <v>100</v>
      </c>
      <c r="H74" s="15" t="n">
        <v>12.31</v>
      </c>
      <c r="I74" s="15" t="n">
        <v>4.28</v>
      </c>
      <c r="J74" s="15" t="n">
        <v>85.63</v>
      </c>
      <c r="K74" s="15" t="n">
        <v>85.63</v>
      </c>
      <c r="L74" s="16" t="n">
        <v>0.1437</v>
      </c>
      <c r="M74" s="16" t="n">
        <v>0.1437</v>
      </c>
      <c r="N74" s="15" t="n">
        <v>14.37</v>
      </c>
      <c r="O74" s="17" t="inlineStr">
        <is>
          <t>PASSED</t>
        </is>
      </c>
      <c r="P74" s="16" t="n">
        <v>0.8563</v>
      </c>
    </row>
    <row r="75">
      <c r="A75" s="12" t="n">
        <v>67</v>
      </c>
      <c r="B75" s="13" t="inlineStr">
        <is>
          <t>Faktual</t>
        </is>
      </c>
      <c r="C75" s="13" t="inlineStr">
        <is>
          <t>google/gemma-4-26b-a4b-it:free</t>
        </is>
      </c>
      <c r="D75" s="14" t="inlineStr">
        <is>
          <t>Jelaskan secara umum konsep 'survei kepuasan masyarakat (SKM)'.</t>
        </is>
      </c>
      <c r="E75" s="14" t="inlineStr">
        <is>
          <t>Instrumen mengukur kepuasan masyarakat atas layanan.</t>
        </is>
      </c>
      <c r="F75" s="14" t="inlineStr">
        <is>
          <t>**Survei Kepuasan Masyarakat (SKM)** adalah instrumen pengukuran untuk mengetahui tingkat kepuasan masyarakat terhadap kualitas pelayanan publik yang diselenggarakan oleh penyelenggara pelayanan publik.
**Poin Utama:**
1.  **Landasan Hukum:** UU No. 25 Tahun 2009 tentang Pelayanan Publik dan Peraturan Menteri PANRB No. 14 Tahun 2017.
2.  Unsur yang Diukur: Biasanya mencakup persyaratan, sistem/mekanisme/prosedur, waktu penyelesaian, biaya/tarif, produk layanan, kompetensi pelaksana, sarana/prasarana, serta penanganan pengaduan.
3.  Tujuan: Sebagai alat evaluasi kinerja instansi pemerintah untuk menentukan arah perbaikan kualitas pelayanan secara berkelanjutan.
4.  Output: Nilai Indeks Kepuasan Masyarakat (IKM) yang menunjukkan tingkat kualitas pelayanan secara kuantitatif.</t>
        </is>
      </c>
      <c r="G75" s="15" t="n">
        <v>100</v>
      </c>
      <c r="H75" s="15" t="n">
        <v>44.82</v>
      </c>
      <c r="I75" s="15" t="n">
        <v>4.43</v>
      </c>
      <c r="J75" s="15" t="n">
        <v>88.59999999999999</v>
      </c>
      <c r="K75" s="15" t="n">
        <v>88.59999999999999</v>
      </c>
      <c r="L75" s="16" t="n">
        <v>0.114</v>
      </c>
      <c r="M75" s="16" t="n">
        <v>0.114</v>
      </c>
      <c r="N75" s="15" t="n">
        <v>11.4</v>
      </c>
      <c r="O75" s="17" t="inlineStr">
        <is>
          <t>PASSED</t>
        </is>
      </c>
      <c r="P75" s="16" t="n">
        <v>0.886</v>
      </c>
    </row>
    <row r="76">
      <c r="A76" s="12" t="n">
        <v>68</v>
      </c>
      <c r="B76" s="13" t="inlineStr">
        <is>
          <t>Analisis</t>
        </is>
      </c>
      <c r="C76" s="13" t="inlineStr">
        <is>
          <t>google/gemma-4-26b-a4b-it:free</t>
        </is>
      </c>
      <c r="D76" s="14" t="inlineStr">
        <is>
          <t>Mengapa metode mystery shopper efektif untuk mengevaluasi kualitas layanan publik?</t>
        </is>
      </c>
      <c r="E76" s="14" t="inlineStr">
        <is>
          <t>Karena penilai menyamar sebagai pengguna biasa, sehingga penilaian dilakukan secara objektif tanpa bias yang muncul saat responden tahu sedang dievaluasi.</t>
        </is>
      </c>
      <c r="F76" s="14" t="inlineStr">
        <is>
          <t>Sebagai ahli SPBE, berikut adalah alasan mengapa metode *mystery shopper* efektif untuk mengevaluasi kualitas layanan publik:
1.  **Objektivitas Pengalaman Pengguna:** Menangkap pengalaman nyata pengguna (sebagai "pelanggan misterius") tanpa adanya bias atau upaya manipulasi data oleh petugas layanan.
2.g **Mengukur Standar Pelayanan (SOP):** Menilai apakah implementasi layanan (baik luring maupun daring/e-government) sudah sesuai dengan standar operasional yang telah ditetapkan.
3.  **Deteksi Masalah Tersembunyi:** Mengidentifikasi masalah yang sering tidak terdeteksi melalui survei kepuasan masyarakat biasa, seperti perilaku petugas, keramahan, serta kecepatan respon sistem/layanan.
4.  **Akurasi Data Lapangan:** Memberikan data riil mengenai kualitas interaksi antara penyelenggara layanan dengan masyarakat, yang merupakan indikator utama keberhasilan tata kelola layanan publik.</t>
        </is>
      </c>
      <c r="G76" s="15" t="n">
        <v>84.81999999999999</v>
      </c>
      <c r="H76" s="15" t="n">
        <v>46.74</v>
      </c>
      <c r="I76" s="15" t="n">
        <v>4.24</v>
      </c>
      <c r="J76" s="15" t="n">
        <v>84.81999999999999</v>
      </c>
      <c r="K76" s="15" t="n">
        <v>84.81999999999999</v>
      </c>
      <c r="L76" s="16" t="n">
        <v>0.1518</v>
      </c>
      <c r="M76" s="16" t="n">
        <v>0.1518</v>
      </c>
      <c r="N76" s="15" t="n">
        <v>15.18</v>
      </c>
      <c r="O76" s="18" t="inlineStr">
        <is>
          <t>FAILED</t>
        </is>
      </c>
      <c r="P76" s="16" t="n">
        <v>0.8482</v>
      </c>
    </row>
    <row r="77">
      <c r="A77" s="12" t="n">
        <v>69</v>
      </c>
      <c r="B77" s="13" t="inlineStr">
        <is>
          <t>Evaluatif</t>
        </is>
      </c>
      <c r="C77" s="13" t="inlineStr">
        <is>
          <t>google/gemma-4-26b-a4b-it:free</t>
        </is>
      </c>
      <c r="D77" s="14" t="inlineStr">
        <is>
          <t>Apa dampaknya jika portal nasional pelayanan publik tidak berjalan optimal?</t>
        </is>
      </c>
      <c r="E77" s="14" t="inlineStr">
        <is>
          <t>Masyarakat kesulitan mengakses layanan pemerintah secara terpadu, sehingga menurunkan kualitas dan efisiensi pelayanan publik secara keseluruhan.</t>
        </is>
      </c>
      <c r="F77" s="14" t="inlineStr">
        <is>
          <t>Jika portal nasional pelayanan publik tidak berjalan optimal, dampaknya adalah:
1.  **Fragmentasi Layanan:** Terjadi ego sektoral digital di mana masyarakat harus membuka banyak aplikasi berbeda untuk layanan yang seharusnya terintegrasi (tidak efisien).
2.  **Inefisiensi Anggaran:** Pemborosan APBN/APBD akibat duplikasi pengembangan aplikasi yang serupa di berbagai instansi pemerintah.
3.  **Penurunan Kepercayaan Publik:** Rendahnya kualitas layanan digital menurunkan tingkat kepercayaan masyarakat terhadap transformasi digital pemerintah.
4.  **Data Tidak Terintegrasi:** Terhambatnya interoperabilitas data antar instansi, sehingga prinsip *Satu Data Indonesia* tidak tercapai.
5.  **Biaya Transaksi Tinggi:** Masyarakat dan pelaku usaha mengalami beban waktu dan biaya tambahan akibat proses birokrasi digital yang berbelit dan tidak terpusat.</t>
        </is>
      </c>
      <c r="G77" s="15" t="n">
        <v>84.75</v>
      </c>
      <c r="H77" s="15" t="n">
        <v>129.67</v>
      </c>
      <c r="I77" s="15" t="n">
        <v>4.24</v>
      </c>
      <c r="J77" s="15" t="n">
        <v>84.75</v>
      </c>
      <c r="K77" s="15" t="n">
        <v>84.75</v>
      </c>
      <c r="L77" s="16" t="n">
        <v>0.1525</v>
      </c>
      <c r="M77" s="16" t="n">
        <v>0.1525</v>
      </c>
      <c r="N77" s="15" t="n">
        <v>15.25</v>
      </c>
      <c r="O77" s="18" t="inlineStr">
        <is>
          <t>FAILED</t>
        </is>
      </c>
      <c r="P77" s="16" t="n">
        <v>0.8475</v>
      </c>
    </row>
    <row r="78">
      <c r="A78" s="12" t="n">
        <v>70</v>
      </c>
      <c r="B78" s="13" t="inlineStr">
        <is>
          <t>Evaluatif</t>
        </is>
      </c>
      <c r="C78" s="13" t="inlineStr">
        <is>
          <t>google/gemma-4-26b-a4b-it:free</t>
        </is>
      </c>
      <c r="D78" s="14" t="inlineStr">
        <is>
          <t>Seberapa penting kepuasan pengguna sebagai tolok ukur keberhasilan layanan digital pemerintah?</t>
        </is>
      </c>
      <c r="E78" s="14" t="inlineStr">
        <is>
          <t>Keberhasilan layanan digital diukur dari manfaat nyata yang dirasakan masyarakat.</t>
        </is>
      </c>
      <c r="F78" s="14" t="inlineStr">
        <is>
          <t>Sangat penting. Dalam kerangka tata kelola SPBE, kepuasan pengguna merupakan indikator kunci untuk mengukur **efektivitas** dan **efisiensi** layanan.
Berikut adalah poin utamanya:
1.  **Indikator Outcome:** Keberhasilan SPBE tidak hanya diukur dari tersedianya aplikasi (output), tetapi dari sejauh mana layanan tersebut memberikan manfaat nyata dan kemudahan bagi masyarakat/ASN (outcome).
2.  **Parameter Kualitas Layanan:** Kepuasan pengguna mencerminkan kualitas aspek *usability* (kemudahan penggunaan), *reliability* (keandalan), dan *accessibility* (aksesibilitas) sistem.
3.  **Dasar Evaluasi &amp; Perbaikan:** Hasil survei kepuasan pengguna menjadi basis data utama dalam proses **evaluasi SPBE** untuk menentukan prioritas perbaikan fitur, integrasi data, maupun pembaruan infrastruktur teknologi.
4.  **Wujud Tata Kelola yang Berorientasi Pengguna (*User-Centric*):** Sejalan dengan prinsip transformasi digital, layanan pemerintah harus bergeser dari orientasi birokrasi menjadi orientasi kebutuhan pengguna demi meningkatkan kepercayaan publik terhadap pemerintah.</t>
        </is>
      </c>
      <c r="G78" s="15" t="n">
        <v>100</v>
      </c>
      <c r="H78" s="15" t="n">
        <v>6.58</v>
      </c>
      <c r="I78" s="15" t="n">
        <v>4.31</v>
      </c>
      <c r="J78" s="15" t="n">
        <v>86.22</v>
      </c>
      <c r="K78" s="15" t="n">
        <v>86.22</v>
      </c>
      <c r="L78" s="16" t="n">
        <v>0.1378</v>
      </c>
      <c r="M78" s="16" t="n">
        <v>0.1378</v>
      </c>
      <c r="N78" s="15" t="n">
        <v>13.78</v>
      </c>
      <c r="O78" s="17" t="inlineStr">
        <is>
          <t>PASSED</t>
        </is>
      </c>
      <c r="P78" s="16" t="n">
        <v>0.8622</v>
      </c>
    </row>
    <row r="79">
      <c r="A79" s="12" t="n">
        <v>71</v>
      </c>
      <c r="B79" s="13" t="inlineStr">
        <is>
          <t>Faktual</t>
        </is>
      </c>
      <c r="C79" s="13" t="inlineStr">
        <is>
          <t>google/gemma-4-26b-a4b-it:free</t>
        </is>
      </c>
      <c r="D79" s="14" t="inlineStr">
        <is>
          <t>Jelaskan secara umum konsep 'dasbor eksekutif untuk pimpinan'.</t>
        </is>
      </c>
      <c r="E79" s="14" t="inlineStr">
        <is>
          <t>Tampilan ringkas indikator kinerja untuk pengambilan keputusan.</t>
        </is>
      </c>
      <c r="F79" s="14" t="inlineStr">
        <is>
          <t>**Dasbor Eksekutif untuk Pimpinan** dalam konteks SPBE adalah instrumen visualisasi data terintegrasi yang berfungsi sebagai alat bantu pengambilan keputusan cepat (*decision support system*) bagi pimpinan tertinggi (seperti Kepala Daerah atau Menteri).
**Karakteristik Utama:**
1.  **Visualisasi Data:** Menyajikan data dalam bentuk grafik, diagram, atau peta agar informasi kompleks mudah dipahami secara instan.
2.  **Real-Time:** Menampilkan data terkini untuk memantau perkembangan indikator kinerja secara langsung.
3.  **Ringkas &amp; Strategis:** Hanya menampilkan Indikator Kinerja Utama (*Key Performance Indicators*/KPI) yang relevan, bukan detail teknis yang terlalu rumit.
4.  **Interaktif:** Memungkinkan pimpinan untuk melakukan *drill-down* (melihat detail lebih dalam) dari ringkasan data ke data yang lebih spesifik jika diperlukan.
**Tujuan Utama:** Transformasi data mentah menjadi informasi strategis untuk mempercepat respons kebijakan dan memastikan tata kelola pemerintahan berjalan secara berbasis data (*data-driven policy*).</t>
        </is>
      </c>
      <c r="G79" s="15" t="n">
        <v>84.81</v>
      </c>
      <c r="H79" s="15" t="n">
        <v>14.82</v>
      </c>
      <c r="I79" s="15" t="n">
        <v>4.24</v>
      </c>
      <c r="J79" s="15" t="n">
        <v>84.81</v>
      </c>
      <c r="K79" s="15" t="n">
        <v>84.81</v>
      </c>
      <c r="L79" s="16" t="n">
        <v>0.1519</v>
      </c>
      <c r="M79" s="16" t="n">
        <v>0.1519</v>
      </c>
      <c r="N79" s="15" t="n">
        <v>15.19</v>
      </c>
      <c r="O79" s="18" t="inlineStr">
        <is>
          <t>FAILED</t>
        </is>
      </c>
      <c r="P79" s="16" t="n">
        <v>0.8481</v>
      </c>
    </row>
    <row r="80">
      <c r="A80" s="12" t="n">
        <v>72</v>
      </c>
      <c r="B80" s="13" t="inlineStr">
        <is>
          <t>Faktual</t>
        </is>
      </c>
      <c r="C80" s="13" t="inlineStr">
        <is>
          <t>google/gemma-4-26b-a4b-it:free</t>
        </is>
      </c>
      <c r="D80" s="14" t="inlineStr">
        <is>
          <t>Jelaskan secara umum konsep 'integrasi aplikasi antarinstansi'.</t>
        </is>
      </c>
      <c r="E80" s="14" t="inlineStr">
        <is>
          <t>Menghubungkan aplikasi agar dapat berbagi data dan fungsi.</t>
        </is>
      </c>
      <c r="F80" s="14" t="inlineStr">
        <is>
          <t>Integrasi aplikasi antarinstansi adalah proses menghubungkan berbagai aplikasi yang dijalankan oleh instansi pemerintah yang berbeda agar dapat saling bertukar data dan informasi secara otomatis melalui standar tertentu.
**Poin Utama:**
1.  **Tujuan:** Menghilangkan ego sektoral, menghindari duplikasi data, dan menciptakan efisiensi birokrasi (menghapus fragmentasi aplikasi).
2.izing **Mekanisme:** Menggunakan **API (*Application Programming Interface*)** atau **Web Services** sehingga data dapat mengalir antar sistem tanpa perlu input manual berulang kali.
3.nya **Prinsip:** Mengacu pada prinsip **Interoperabilitas**, di mana data tidak lagi disimpan secara terisolasi dalam "silo-silo" aplikasi, melainkan terhubung dalam ekosistem digital yang terintegrasi.
4.  **Landasan Utama:** Implementasi ini merupakan mandat dari **Perpres No. 95 Tahun 2018 tentang SPBE** untuk mewujudkan pemerintahan yang terpadu melalui **Satu Data Indonesia**.</t>
        </is>
      </c>
      <c r="G80" s="15" t="n">
        <v>84.98999999999999</v>
      </c>
      <c r="H80" s="15" t="n">
        <v>63.14</v>
      </c>
      <c r="I80" s="15" t="n">
        <v>4.25</v>
      </c>
      <c r="J80" s="15" t="n">
        <v>84.98999999999999</v>
      </c>
      <c r="K80" s="15" t="n">
        <v>84.98999999999999</v>
      </c>
      <c r="L80" s="16" t="n">
        <v>0.1501</v>
      </c>
      <c r="M80" s="16" t="n">
        <v>0.1501</v>
      </c>
      <c r="N80" s="15" t="n">
        <v>15.01</v>
      </c>
      <c r="O80" s="18" t="inlineStr">
        <is>
          <t>FAILED</t>
        </is>
      </c>
      <c r="P80" s="16" t="n">
        <v>0.8499</v>
      </c>
    </row>
    <row r="81">
      <c r="A81" s="12" t="n">
        <v>73</v>
      </c>
      <c r="B81" s="13" t="inlineStr">
        <is>
          <t>Faktual</t>
        </is>
      </c>
      <c r="C81" s="13" t="inlineStr">
        <is>
          <t>google/gemma-4-26b-a4b-it:free</t>
        </is>
      </c>
      <c r="D81" s="14" t="inlineStr">
        <is>
          <t>Jelaskan secara umum konsep 'kompetensi teknis ASN bidang digital'.</t>
        </is>
      </c>
      <c r="E81" s="14" t="inlineStr">
        <is>
          <t>Kemampuan teknis digital yang wajib dimiliki ASN sesuai jabatan.</t>
        </is>
      </c>
      <c r="F81" s="14" t="inlineStr">
        <is>
          <t>Kompetensi teknis ASN bidang digital adalah kemampuan kerja yang spesifik, terukur, dan dapat diterapkan oleh ASN untuk melaksanakan tugas dalam kerangka transformasi digital pemerintahan.
Secara garis besar, konsep ini mencakup kemampuan dalam:
1. **Tata Kelola Data:** Kemampuan mengelola, mengamankan, dan menganalisis data secara digital (sesuai standar Satu Data Indonesia).
2.- **Keamanan Siber:** Kemampuan melindungi aset informasi dan infrastruktur digital dari ancaman siber.
3. **Manajemen Infrastruktur &amp; Aplikasi:** Kemampuan mengoperasikan, mengintegrasikan, dan memelihara sistem aplikasi serta jaringan pemerintah.
4. **Literasi &amp; Analisis Digital:** Kemampuan menggunakan perangkat digital serta mengolah data menjadi informasi untuk pengambilan keputusan berbasis data (*data-driven policy*).
Dalam konteks SPBE, kompetensi ini bertujuan agar ASN tidak sekadar menjadi pengguna (*user*), tetapi mampu menjadi pengelola dan inovator dalam ekosistem digital pemerintah.</t>
        </is>
      </c>
      <c r="G81" s="15" t="n">
        <v>100</v>
      </c>
      <c r="H81" s="15" t="n">
        <v>26.2</v>
      </c>
      <c r="I81" s="15" t="n">
        <v>4.44</v>
      </c>
      <c r="J81" s="15" t="n">
        <v>88.73999999999999</v>
      </c>
      <c r="K81" s="15" t="n">
        <v>88.73999999999999</v>
      </c>
      <c r="L81" s="16" t="n">
        <v>0.1126</v>
      </c>
      <c r="M81" s="16" t="n">
        <v>0.1126</v>
      </c>
      <c r="N81" s="15" t="n">
        <v>11.26</v>
      </c>
      <c r="O81" s="17" t="inlineStr">
        <is>
          <t>PASSED</t>
        </is>
      </c>
      <c r="P81" s="16" t="n">
        <v>0.8874</v>
      </c>
    </row>
    <row r="82">
      <c r="A82" s="12" t="n">
        <v>74</v>
      </c>
      <c r="B82" s="13" t="inlineStr">
        <is>
          <t>Faktual</t>
        </is>
      </c>
      <c r="C82" s="13" t="inlineStr">
        <is>
          <t>google/gemma-4-26b-a4b-it:free</t>
        </is>
      </c>
      <c r="D82" s="14" t="inlineStr">
        <is>
          <t>Jelaskan secara umum konsep 'forum konsultasi publik'.</t>
        </is>
      </c>
      <c r="E82" s="14" t="inlineStr">
        <is>
          <t>Ruang temu pengguna dan penyedia layanan untuk masukan.</t>
        </is>
      </c>
      <c r="F82" s="14" t="inlineStr">
        <is>
          <t>**Forum Konsultasi Publik (FKP)** adalah kegiatan dialogis antara penyelenggara layanan publik dengan masyarakat (pemangku kepentingan) untuk mendapatkan masukan, saran, dan kritik terkait kebijakan atau standar pelayanan.
Dalam konteks **SPBE**, konsep ini berfungsi untuk:
1. **Transparansi:** Melibatkan masyarakat dalam perancangan atau evaluasi layanan berbasis digital.
2. **Partisipasi:** Menjamin bahwa sistem/aplikasi yang dibangun sesuai dengan kebutuhan riil pengguna (*user-centric*).
3.- **Akuntabilitas:** Memastikan tata kelola digital berjalan sesuai prinsip keterbukaan informasi publik.
**Tujuan Utama:** Meningkatkan kualitas pelayanan publik melalui penyempurnaan kebijakan atau sistem berbasis aspirasi masyarakat.</t>
        </is>
      </c>
      <c r="G82" s="15" t="n">
        <v>100</v>
      </c>
      <c r="H82" s="15" t="n">
        <v>29.68</v>
      </c>
      <c r="I82" s="15" t="n">
        <v>4.29</v>
      </c>
      <c r="J82" s="15" t="n">
        <v>85.78</v>
      </c>
      <c r="K82" s="15" t="n">
        <v>85.78</v>
      </c>
      <c r="L82" s="16" t="n">
        <v>0.1422</v>
      </c>
      <c r="M82" s="16" t="n">
        <v>0.1422</v>
      </c>
      <c r="N82" s="15" t="n">
        <v>14.22</v>
      </c>
      <c r="O82" s="17" t="inlineStr">
        <is>
          <t>PASSED</t>
        </is>
      </c>
      <c r="P82" s="16" t="n">
        <v>0.8578</v>
      </c>
    </row>
    <row r="83">
      <c r="A83" s="12" t="n">
        <v>75</v>
      </c>
      <c r="B83" s="13" t="inlineStr">
        <is>
          <t>Faktual</t>
        </is>
      </c>
      <c r="C83" s="13" t="inlineStr">
        <is>
          <t>google/gemma-4-26b-a4b-it:free</t>
        </is>
      </c>
      <c r="D83" s="14" t="inlineStr">
        <is>
          <t>Jelaskan secara umum konsep 'manajemen insiden siber'.</t>
        </is>
      </c>
      <c r="E83" s="14" t="inlineStr">
        <is>
          <t>Proses mendeteksi, merespons, dan memulihkan dari insiden siber.</t>
        </is>
      </c>
      <c r="F83" s="14" t="inlineStr">
        <is>
          <t>**Manajemen Insiden Siber** adalah serangkaian proses terstruktur untuk mengidentifikasi, mendeteksi, menangani, dan memulihkan diri dari serangan atau gangguan keamanan informasi guna meminimalkan dampak negatif terhadap organisasi.
Dalam konteks tata kelola SPBE, cakupan utamanya meliputi:
1.  **Identifikasi &amp; Deteksi:** Menemukan anomali atau pelanggaran keamanan pada sistem/layanan digital.
2.  **Penanganan (Containment):** Tindakan cepat untuk mengisolasi ancaman agar penyebaran tidak meluas.
3.  **Eradikasi &amp; Pemulihan (Recovery):** Menghilangkan penyebab insiden (misalnya *malware*) dan mengembalikan layanan ke kondisi normal.
4.  **Evaluasi &amp; Pembelajaran:** Analisis pasca-insiden (*post-mortem*) untuk memperkuat pertahanan dan mencegah kejadian serupa terulang kembali.
**Tujuan Utama:** Menjaga kerahasiaan (*Confidentiality*), keutuhan (*Integrity*), dan ketersediaan (*Availability*) data serta layanan publik digital.</t>
        </is>
      </c>
      <c r="G83" s="15" t="n">
        <v>100</v>
      </c>
      <c r="H83" s="15" t="n">
        <v>13.29</v>
      </c>
      <c r="I83" s="15" t="n">
        <v>4.48</v>
      </c>
      <c r="J83" s="15" t="n">
        <v>89.64</v>
      </c>
      <c r="K83" s="15" t="n">
        <v>89.64</v>
      </c>
      <c r="L83" s="16" t="n">
        <v>0.1036</v>
      </c>
      <c r="M83" s="16" t="n">
        <v>0.1036</v>
      </c>
      <c r="N83" s="15" t="n">
        <v>10.36</v>
      </c>
      <c r="O83" s="17" t="inlineStr">
        <is>
          <t>PASSED</t>
        </is>
      </c>
      <c r="P83" s="16" t="n">
        <v>0.8964</v>
      </c>
    </row>
    <row r="84">
      <c r="A84" s="12" t="n">
        <v>76</v>
      </c>
      <c r="B84" s="13" t="inlineStr">
        <is>
          <t>Evaluatif</t>
        </is>
      </c>
      <c r="C84" s="13" t="inlineStr">
        <is>
          <t>google/gemma-4-26b-a4b-it:free</t>
        </is>
      </c>
      <c r="D84" s="14" t="inlineStr">
        <is>
          <t>Sejauh mana efektivitas manajemen perubahan dalam mendukung keberhasilan transformasi digital instansi?</t>
        </is>
      </c>
      <c r="E84" s="14" t="inlineStr">
        <is>
          <t>Manajemen perubahan menentukan keberhasilan adopsi sistem digital oleh organisasi.</t>
        </is>
      </c>
      <c r="F84" s="14" t="inlineStr">
        <is>
          <t>Manajemen perubahan sangat krusial dan menentukan keberhasilan transformasi digital. Efektivitasnya terletak pada tiga aspek utama:
1.  **Mitigasi Resistensi:** Mengurangi penolakan dari pegawai terhadap sistem/proses baru melalui edukasi dan sosialisasi.
2.  **Kesiapan Budaya Digital:** Mengubah pola pikir (*mindset*) dari cara kerja konvensional ke cara kerja berbasis data dan digital.
3.  **Keberlanjutan Adopsi:** Memastikan teknologi yang diimplementasikan benar-benar digunakan (*adoption rate* tinggi) dan bukan sekadar menjadi aset digital yang terbengkalai.
**Kesimpulan:** Tanpa manajemen perubahan, transformasi digital hanya akan menjadi digitalisasi proses manual (sebatas aplikasi), bukan transformasi tata kelola yang mengubah efisiensi dan kualitas layanan publik.</t>
        </is>
      </c>
      <c r="G84" s="15" t="n">
        <v>100</v>
      </c>
      <c r="H84" s="15" t="n">
        <v>23.66</v>
      </c>
      <c r="I84" s="15" t="n">
        <v>4.43</v>
      </c>
      <c r="J84" s="15" t="n">
        <v>88.67</v>
      </c>
      <c r="K84" s="15" t="n">
        <v>88.67</v>
      </c>
      <c r="L84" s="16" t="n">
        <v>0.1133</v>
      </c>
      <c r="M84" s="16" t="n">
        <v>0.1133</v>
      </c>
      <c r="N84" s="15" t="n">
        <v>11.33</v>
      </c>
      <c r="O84" s="17" t="inlineStr">
        <is>
          <t>PASSED</t>
        </is>
      </c>
      <c r="P84" s="16" t="n">
        <v>0.8867</v>
      </c>
    </row>
    <row r="85">
      <c r="A85" s="12" t="n">
        <v>77</v>
      </c>
      <c r="B85" s="13" t="inlineStr">
        <is>
          <t>Analisis</t>
        </is>
      </c>
      <c r="C85" s="13" t="inlineStr">
        <is>
          <t>google/gemma-4-26b-a4b-it:free</t>
        </is>
      </c>
      <c r="D85" s="14" t="inlineStr">
        <is>
          <t>Apa perbedaan antara interoperabilitas data dan integrasi aplikasi dalam mewujudkan keterpaduan layanan digital pemerintah?</t>
        </is>
      </c>
      <c r="E85" s="14" t="inlineStr">
        <is>
          <t>Interoperabilitas data berfokus pada pertukaran data, sedangkan integrasi aplikasi berfokus pada keterhubungan antar aplikasi.</t>
        </is>
      </c>
      <c r="F85" s="14" t="inlineStr">
        <is>
          <t>Perbedaan utama keduanya terletak pada **objek** dan **cakupan** teknisnya:
**1. Interoperabilitas Data**
*   **Fokus:** Pertukaran dan keterhubungan **data** antar instansi/sistem.
*   - **Tujuan:** Agar data dapat dibaca, digunakan, dan dipertukarkan secara mulus tanpa harus menyalin data secara manual (menghindari duplikasi data).
*   - **Kunci:** Standar data, metadata, dan penggunaan API (*Application Programming Interface*).
**2. Integrasi Aplikasi**
*   **Fokus:** Keterhubungan **sistem/perangkat lunak** agar dapat bekerja bersama.
*   - **Tujuan:** Menghubungkan berbagai aplikasi yang berbeda agar dapat saling berkomunikasi dan menjalankan fungsi layanan secara terpadu dalam satu ekosistem.
*   - **Kunci:** Arsitektur SPBE dan integrasi sistem melalui *middleware* atau *platform* berbagi pakai.
**Singkatnya:**
**Integrasi Aplikasi** adalah penyambungan "mesin" atau sistemnya, sedangkan **Interoperabilitas Data** adalah memastikan "isi/informasi" di dalam mesin tersebut dapat saling dimengerti dan mengalir antar sistem tersebut.</t>
        </is>
      </c>
      <c r="G85" s="15" t="n">
        <v>100</v>
      </c>
      <c r="H85" s="15" t="n">
        <v>178.05</v>
      </c>
      <c r="I85" s="15" t="n">
        <v>4.45</v>
      </c>
      <c r="J85" s="15" t="n">
        <v>89.02</v>
      </c>
      <c r="K85" s="15" t="n">
        <v>89.02</v>
      </c>
      <c r="L85" s="16" t="n">
        <v>0.1098</v>
      </c>
      <c r="M85" s="16" t="n">
        <v>0.1098</v>
      </c>
      <c r="N85" s="15" t="n">
        <v>10.98</v>
      </c>
      <c r="O85" s="17" t="inlineStr">
        <is>
          <t>PASSED</t>
        </is>
      </c>
      <c r="P85" s="16" t="n">
        <v>0.8902</v>
      </c>
    </row>
    <row r="86">
      <c r="A86" s="12" t="n">
        <v>78</v>
      </c>
      <c r="B86" s="13" t="inlineStr">
        <is>
          <t>Faktual</t>
        </is>
      </c>
      <c r="C86" s="13" t="inlineStr">
        <is>
          <t>google/gemma-4-26b-a4b-it:free</t>
        </is>
      </c>
      <c r="D86" s="14" t="inlineStr">
        <is>
          <t>Jelaskan secara umum konsep 'indikator kinerja utama (IKU)'.</t>
        </is>
      </c>
      <c r="E86" s="14" t="inlineStr">
        <is>
          <t>Ukuran keberhasilan pencapaian sasaran prioritas.</t>
        </is>
      </c>
      <c r="F86" s="14" t="inlineStr">
        <is>
          <t>**Indikator Kinerja Utama (IKU)** adalah ukuran kuantitatif maupun kualitatif yang ditetapkan oleh pimpinan instansi untuk mengukur keberhasilan pencapaian tujuan dan sasaran strategis organisasi.
Dalam konteks **SPBE**, IKU berfungsi sebagai alat ukur untuk menilai sejauh mana penerapan sistem elektronik telah memberikan nilai tambah, efisi-siensi, dan efektivitas dalam penyelenggaraan pemerintahan.
**Karakteristik IKU yang baik:**
1. **SMART:** *Specific* (spesifik), *Measurable* (dapat diukur), *Achievable* (dapat dicapai), *Relevant* (relevan), dan *Time-bound* (memiliki batas waktu).
2. **Terukur:** Menggunakan satuan angka atau persentase.
3.- **Berorientasi Hasil:** Tidak sekadar mengukur aktivitas, tetapi mengukur dampak/hasil (outcome).</t>
        </is>
      </c>
      <c r="G86" s="15" t="n">
        <v>84.65000000000001</v>
      </c>
      <c r="H86" s="15" t="n">
        <v>136.99</v>
      </c>
      <c r="I86" s="15" t="n">
        <v>4.23</v>
      </c>
      <c r="J86" s="15" t="n">
        <v>84.65000000000001</v>
      </c>
      <c r="K86" s="15" t="n">
        <v>84.65000000000001</v>
      </c>
      <c r="L86" s="16" t="n">
        <v>0.1535</v>
      </c>
      <c r="M86" s="16" t="n">
        <v>0.1535</v>
      </c>
      <c r="N86" s="15" t="n">
        <v>15.35</v>
      </c>
      <c r="O86" s="18" t="inlineStr">
        <is>
          <t>FAILED</t>
        </is>
      </c>
      <c r="P86" s="16" t="n">
        <v>0.8465</v>
      </c>
    </row>
    <row r="87">
      <c r="A87" s="12" t="n">
        <v>79</v>
      </c>
      <c r="B87" s="13" t="inlineStr">
        <is>
          <t>Faktual</t>
        </is>
      </c>
      <c r="C87" s="13" t="inlineStr">
        <is>
          <t>google/gemma-4-26b-a4b-it:free</t>
        </is>
      </c>
      <c r="D87" s="14" t="inlineStr">
        <is>
          <t>Jelaskan secara umum konsep 'penilaian tingkat kematangan'.</t>
        </is>
      </c>
      <c r="E87" s="14" t="inlineStr">
        <is>
          <t>Penilaian sejauh mana praktik organisasi telah matang/terlembaga.</t>
        </is>
      </c>
      <c r="F87" s="14" t="inlineStr">
        <is>
          <t>**Penilaian Tingkat Kematangan SPBE** adalah proses pengukuran untuk mengetahui sejauh mana tingkat kapabilitas dan kualitas implementasi SPBE dalam suatu instansi pemerintah.
**Inti konsepnya meliputi:**
1.  **Tujuan:** Mengukur efektivitas, efisiensi, dan akuntabilitas tata kelola, pemanfaatan, serta layanan SPBE.
2.  **Indikator Utama:** Penilaian dilakukan berdasarkan domain-domain utama, yaitu:
    *   **Tata Kelola:** Kebijakan, struktur organisasi, dan manajemen risiko.
    *   **Manajemen Data &amp; Informasi:** Keamanan, integrasi data, dan interoperabilitas.
    *   **Layanan:** Kualitas layanan publik dan layanan administrasi pemerintahan berbasis digital.
3.  **Skala Pengukuran:** Menggunakan skala nilai (biasanya 1–5) yang merepresentasikan level kematangan, mulai dari tingkat *Initial* (belum terorganisir) hingga *Optimizing* (terus disempurnakan).
4.  **Output:** Hasil penilaian digunakan sebagai instrumen evaluasi untuk menentukan arah perbaikan (rekomendasi) dan pemetaan kemampuan digital instansi.</t>
        </is>
      </c>
      <c r="G87" s="15" t="n">
        <v>82.08</v>
      </c>
      <c r="H87" s="15" t="n">
        <v>24.45</v>
      </c>
      <c r="I87" s="15" t="n">
        <v>4.1</v>
      </c>
      <c r="J87" s="15" t="n">
        <v>82.08</v>
      </c>
      <c r="K87" s="15" t="n">
        <v>82.08</v>
      </c>
      <c r="L87" s="16" t="n">
        <v>0.1792</v>
      </c>
      <c r="M87" s="16" t="n">
        <v>0.1792</v>
      </c>
      <c r="N87" s="15" t="n">
        <v>17.92</v>
      </c>
      <c r="O87" s="18" t="inlineStr">
        <is>
          <t>FAILED</t>
        </is>
      </c>
      <c r="P87" s="16" t="n">
        <v>0.8208</v>
      </c>
    </row>
    <row r="88">
      <c r="A88" s="12" t="n">
        <v>80</v>
      </c>
      <c r="B88" s="13" t="inlineStr">
        <is>
          <t>Faktual</t>
        </is>
      </c>
      <c r="C88" s="13" t="inlineStr">
        <is>
          <t>google/gemma-4-26b-a4b-it:free</t>
        </is>
      </c>
      <c r="D88" s="14" t="inlineStr">
        <is>
          <t>Jelaskan secara umum konsep 'transformasi tata kelola pelayanan publik'.</t>
        </is>
      </c>
      <c r="E88" s="14" t="inlineStr">
        <is>
          <t>Perubahan menyeluruh tata kelola agar layanan lebih baik.</t>
        </is>
      </c>
      <c r="F88" s="14" t="inlineStr">
        <is>
          <t>Transformasi tata kelola pelayanan publik dalam konteks SPBE adalah **perubahan paradigma pelayanan dari berbasis manual/konvensional menuju pelayanan berbasis digital yang terintegrasi.**
Konsep ini mencakup tiga aspek utama:
1.  **Digitalisasi Proses:** Mengubah alur kerja birokrasi yang bersifat fisik dan parsial menjadi digital, otomatis, dan terintegrasi (tidak lagi bekerja dalam silo/terpisah-pisah).
2.  **Integrasi Layanan:** Menghapus fragmentasi data antar instansi pemerintah melalui **Berbagi Pakai Data** (Interoperabilitas), sehingga masyarakat cukup berinteraksi melalui satu pintu (Single Sign-On/Portal Nasional).
3.  **Orientasi Pengguna (User-Centric):** Mengalihkan fokus dari "berbasis prosedur birokrasi" menjadi "berbasis kebutuhan masyarakat", di mana layanan menjadi lebih cepat, transparan, akuntabel, dan dapat diakses kapan saja secara efisien.
**Intinya:** Transformasi ini bertujuan menciptakan tata kelola pemerintahan yang lebih ramping, cepat, dan efisien melalui pemanfaatan teknologi informasi untuk meningkatkan kualitas layanan kepada masyarakat.</t>
        </is>
      </c>
      <c r="G88" s="15" t="n">
        <v>84.09</v>
      </c>
      <c r="H88" s="15" t="n">
        <v>5.85</v>
      </c>
      <c r="I88" s="15" t="n">
        <v>4.2</v>
      </c>
      <c r="J88" s="15" t="n">
        <v>84.09</v>
      </c>
      <c r="K88" s="15" t="n">
        <v>84.09</v>
      </c>
      <c r="L88" s="16" t="n">
        <v>0.1591</v>
      </c>
      <c r="M88" s="16" t="n">
        <v>0.1591</v>
      </c>
      <c r="N88" s="15" t="n">
        <v>15.91</v>
      </c>
      <c r="O88" s="18" t="inlineStr">
        <is>
          <t>FAILED</t>
        </is>
      </c>
      <c r="P88" s="16" t="n">
        <v>0.8409</v>
      </c>
    </row>
    <row r="89">
      <c r="A89" s="12" t="n">
        <v>81</v>
      </c>
      <c r="B89" s="13" t="inlineStr">
        <is>
          <t>Faktual</t>
        </is>
      </c>
      <c r="C89" s="13" t="inlineStr">
        <is>
          <t>google/gemma-4-26b-a4b-it:free</t>
        </is>
      </c>
      <c r="D89" s="14" t="inlineStr">
        <is>
          <t>Jelaskan secara umum konsep 'ekosistem pusat data nasional'.</t>
        </is>
      </c>
      <c r="E89" s="14" t="inlineStr">
        <is>
          <t>Kumpulan fasilitas pusat data terkonsolidasi tingkat nasional.</t>
        </is>
      </c>
      <c r="F89" s="14" t="inlineStr">
        <is>
          <t>**Ekosistem Pusat Data Nasional (PDN)** adalah sebuah ekosistem terintegrasi yang mencakup infrastruktur, platform, dan aplikasi layanan publik yang dikelola secara terpusat untuk mewujudkan efisiensi dan integrasi data pemerintah.
**Komponen Utama:**
1.  **Infrastruktur:** Perangkat keras, jaringan, dan fasilitas fisik tempat penyimpanan data.
2.  - **Platform:** Layanan perangkat lunak untuk interoperabilitas data, berbagi pakai aplikasi, dan identitas digital.
3.  - **Tata Kelola:** Kerangka kerja regulasi, standar keamanan, dan prosedur operasional untuk memastikan data aman dan dapat digunakan antar instansi.
**Tujuan Utama:**
*   **Efisiensi Anggaran:** Menghindari duplikasi pembangunan pusat data di tiap instansi.
*   ersistensi **Interoperabilitas:** Memudahkan pertukaran data antar kementerian/lembaga/daerah.
*   **Kedaulatan Data:** Menjamin data negara dikelola dalam satu standar keamanan yang ketat dan terpusat.</t>
        </is>
      </c>
      <c r="G89" s="15" t="n">
        <v>100</v>
      </c>
      <c r="H89" s="15" t="n">
        <v>196.8</v>
      </c>
      <c r="I89" s="15" t="n">
        <v>4.33</v>
      </c>
      <c r="J89" s="15" t="n">
        <v>86.56999999999999</v>
      </c>
      <c r="K89" s="15" t="n">
        <v>86.56999999999999</v>
      </c>
      <c r="L89" s="16" t="n">
        <v>0.1343</v>
      </c>
      <c r="M89" s="16" t="n">
        <v>0.1343</v>
      </c>
      <c r="N89" s="15" t="n">
        <v>13.43</v>
      </c>
      <c r="O89" s="17" t="inlineStr">
        <is>
          <t>PASSED</t>
        </is>
      </c>
      <c r="P89" s="16" t="n">
        <v>0.8657</v>
      </c>
    </row>
    <row r="90">
      <c r="A90" s="12" t="n">
        <v>82</v>
      </c>
      <c r="B90" s="13" t="inlineStr">
        <is>
          <t>Evaluatif</t>
        </is>
      </c>
      <c r="C90" s="13" t="inlineStr">
        <is>
          <t>google/gemma-4-26b-a4b-it:free</t>
        </is>
      </c>
      <c r="D90" s="14" t="inlineStr">
        <is>
          <t>Mengapa strategi penilaian perlu diintegrasikan ke dalam layanan digital?</t>
        </is>
      </c>
      <c r="E90" s="14" t="inlineStr">
        <is>
          <t>Agar penilaian berjalan secara real-time dan umpan balik perbaikan dapat diperoleh lebih cepat.</t>
        </is>
      </c>
      <c r="F90" s="14" t="inlineStr">
        <is>
          <t>Strategi penilaian perlu diintegrasikan ke dalam layanan digital untuk:
1.  **Menjamin Kualitas Layanan:** Memastikan layanan digital memenuhi standar fungsionalitas, keamanan, dan kemudahan penggunaan (*usability*).
2.el **Pengukuran Kinerja (Monitoring):** Menyediakan metrik objektif untuk mengukur efektivitas, efisiensi, dan efektivitas layanan secara *real-time*.
3.  **Dasar Pengambilan Keputusan:** Menyediakan data berbasis bukti (*evidence-based*) untuk pengembangan fitur atau perbaikan sistem di masa mendatang.
4.  - **Kepatuhan Regulasi:** Memastikan layanan selaras dengan standar tata kelola SPBE dan keamanan informasi (ISO/IEC 27001).
5.  **Perbaikan Berkelanjutan (*Continuous Improvement*):** Mendeteksi kegagalan sistem atau ketidakpuasan pengguna secara dini agar dapat segera dilakukan mitigasi.</t>
        </is>
      </c>
      <c r="G90" s="15" t="n">
        <v>83.64</v>
      </c>
      <c r="H90" s="15" t="n">
        <v>56.18</v>
      </c>
      <c r="I90" s="15" t="n">
        <v>4.18</v>
      </c>
      <c r="J90" s="15" t="n">
        <v>83.64</v>
      </c>
      <c r="K90" s="15" t="n">
        <v>83.64</v>
      </c>
      <c r="L90" s="16" t="n">
        <v>0.1636</v>
      </c>
      <c r="M90" s="16" t="n">
        <v>0.1636</v>
      </c>
      <c r="N90" s="15" t="n">
        <v>16.36</v>
      </c>
      <c r="O90" s="18" t="inlineStr">
        <is>
          <t>FAILED</t>
        </is>
      </c>
      <c r="P90" s="16" t="n">
        <v>0.8364</v>
      </c>
    </row>
    <row r="91">
      <c r="A91" s="12" t="n">
        <v>83</v>
      </c>
      <c r="B91" s="13" t="inlineStr">
        <is>
          <t>Analisis</t>
        </is>
      </c>
      <c r="C91" s="13" t="inlineStr">
        <is>
          <t>google/gemma-4-26b-a4b-it:free</t>
        </is>
      </c>
      <c r="D91" s="14" t="inlineStr">
        <is>
          <t>Mengapa kanal umpan balik dua arah dapat meningkatkan kualitas layanan digital pemerintah dibandingkan komunikasi satu arah?</t>
        </is>
      </c>
      <c r="E91" s="14" t="inlineStr">
        <is>
          <t>Kanal umpan balik dua arah memungkinkan pengguna menyampaikan masukan dan keluhan sehingga layanan digital pemerintah</t>
        </is>
      </c>
      <c r="F91" s="14" t="inlineStr">
        <is>
          <t>Kanal umpan balik dua arah meningkatkan kualitas layanan digital karena:
1.  **Deteksi Dini Masalah:** Memungkinkan pemerintah mengetahui kegagalan sistem atau ketidakpuasan pengguna secara *real-time* sebelum menjadi masalah sistemik.
2.  age **Perbaikan Berbasis Data:** Menyediakan data riil dari pengguna untuk dasar evaluasi dan pengembangan fitur yang relevan dengan kebutuhan masyarakat (user-centric).
3.  **Peningkatan Kepercayaan (Trust):** Menciptakan rasa keterlibatan masyarakat (*citizen engagement*), sehingga masyarakat merasa aspirasinya didengar dan diakomodasi.
4.ak **Efisiensi Adaptasi:** Mempercepat siklus adaptasi layanan terhadap perubahan kebutuhan masyarakat, memastikan layanan tetap relevan dan efektif.</t>
        </is>
      </c>
      <c r="G91" s="15" t="n">
        <v>100</v>
      </c>
      <c r="H91" s="15" t="n">
        <v>100.67</v>
      </c>
      <c r="I91" s="15" t="n">
        <v>4.51</v>
      </c>
      <c r="J91" s="15" t="n">
        <v>90.22</v>
      </c>
      <c r="K91" s="15" t="n">
        <v>90.22</v>
      </c>
      <c r="L91" s="16" t="n">
        <v>0.0978</v>
      </c>
      <c r="M91" s="16" t="n">
        <v>0.0978</v>
      </c>
      <c r="N91" s="15" t="n">
        <v>9.779999999999999</v>
      </c>
      <c r="O91" s="17" t="inlineStr">
        <is>
          <t>PASSED</t>
        </is>
      </c>
      <c r="P91" s="16" t="n">
        <v>0.9022</v>
      </c>
    </row>
    <row r="92">
      <c r="A92" s="12" t="n">
        <v>84</v>
      </c>
      <c r="B92" s="13" t="inlineStr">
        <is>
          <t>Faktual</t>
        </is>
      </c>
      <c r="C92" s="13" t="inlineStr">
        <is>
          <t>google/gemma-4-26b-a4b-it:free</t>
        </is>
      </c>
      <c r="D92" s="14" t="inlineStr">
        <is>
          <t>Jelaskan secara umum konsep 'perekaman aktivitas pemrosesan data pribadi'.</t>
        </is>
      </c>
      <c r="E92" s="14" t="inlineStr">
        <is>
          <t>Pencatatan kegiatan pemrosesan data pribadi untuk akuntabilitas.</t>
        </is>
      </c>
      <c r="F92" s="14" t="inlineStr">
        <is>
          <t>Konsep **perekaman aktivitas pemrosesan data pribadi** adalah tindakan mencatat seluruh rangkaian kegiatan pengelolaan data pribadi secara sistematis.
Dalam konteks tata kelola data (termasuk dalam kerangka SPBE dan UU Pelindungan Data Pribadi), hal ini mencakup:
1.  **Tujuan:** Sebagai instrumen akuntabilitas, audit, dan penegakan hukum jika terjadi kebocoran data.
2.ual **Cakupan Rekaman (Log):** Mencakup identitas pelaku, waktu (timestamp), jenis data yang diakses, tujuan akses, serta tindakan yang dilakukan (membaca, mengubah, menghapus, atau membagikan).
3.  **Prinsip Utama:** Harus dilakukan secara otomatis, tidak dapat diubah (*immutable*), dan dapat dipertanggungjawabkan guna memastikan prinsip transparansi dan keamanan data terjaga.</t>
        </is>
      </c>
      <c r="G92" s="15" t="n">
        <v>100</v>
      </c>
      <c r="H92" s="15" t="n">
        <v>67.61</v>
      </c>
      <c r="I92" s="15" t="n">
        <v>4.41</v>
      </c>
      <c r="J92" s="15" t="n">
        <v>88.14</v>
      </c>
      <c r="K92" s="15" t="n">
        <v>88.14</v>
      </c>
      <c r="L92" s="16" t="n">
        <v>0.1186</v>
      </c>
      <c r="M92" s="16" t="n">
        <v>0.1186</v>
      </c>
      <c r="N92" s="15" t="n">
        <v>11.86</v>
      </c>
      <c r="O92" s="17" t="inlineStr">
        <is>
          <t>PASSED</t>
        </is>
      </c>
      <c r="P92" s="16" t="n">
        <v>0.8814</v>
      </c>
    </row>
    <row r="93">
      <c r="A93" s="12" t="n">
        <v>85</v>
      </c>
      <c r="B93" s="13" t="inlineStr">
        <is>
          <t>Faktual</t>
        </is>
      </c>
      <c r="C93" s="13" t="inlineStr">
        <is>
          <t>google/gemma-4-26b-a4b-it:free</t>
        </is>
      </c>
      <c r="D93" s="14" t="inlineStr">
        <is>
          <t>Jelaskan secara umum konsep 'penilaian dampak pelindungan data (DPIA)'.</t>
        </is>
      </c>
      <c r="E93" s="14" t="inlineStr">
        <is>
          <t>Analisis risiko pemrosesan data pribadi sebelum dijalankan.</t>
        </is>
      </c>
      <c r="F93" s="14" t="inlineStr">
        <is>
          <t>**Penilaian Dampak Pelindungan Data (DPIA)** adalah proses sistematis untuk mengidentifikasi, menganalisis, dan memitigasi risiko terhadap hak-hak individu (subjek data) yang timbul dari kegiatan pemrosesan data pribadi.
Dalam konteks tata kelola data dan SPBE, DPIA berfungsi sebagai:
1.  **Mitigasi Risiko:** Mengukur potensi kerugian (seperti kebocoran data atau penyalahgunaan) sebelum sebuah sistem atau proses pemrosesan data baru diimplementasikan.
2.thought **Kepatuhan Regulasi:** Memenuhi standar perlindungan data pribadi (seperti UU PDP) untuk memastikan pemrosesan data dilakukan secara akuntabel.
3.thought **Prinsip Pencegahan:** Mengidentifikasi celah keamanan dan memberikan rekomendasi langkah teknis maupun organisasional untuk meminimalkan dampak risiko terhadap subjek data.
**Intinya:** DPIA adalah prosedur preventif untuk memastikan bahwa cara organisasi mengelola data tidak melanggar privasi dan tidak menimbulkan risiko kerugian bagi pemilik data.</t>
        </is>
      </c>
      <c r="G93" s="15" t="n">
        <v>100</v>
      </c>
      <c r="H93" s="15" t="n">
        <v>175.09</v>
      </c>
      <c r="I93" s="15" t="n">
        <v>4.37</v>
      </c>
      <c r="J93" s="15" t="n">
        <v>87.34</v>
      </c>
      <c r="K93" s="15" t="n">
        <v>87.34</v>
      </c>
      <c r="L93" s="16" t="n">
        <v>0.1266</v>
      </c>
      <c r="M93" s="16" t="n">
        <v>0.1266</v>
      </c>
      <c r="N93" s="15" t="n">
        <v>12.66</v>
      </c>
      <c r="O93" s="17" t="inlineStr">
        <is>
          <t>PASSED</t>
        </is>
      </c>
      <c r="P93" s="16" t="n">
        <v>0.8734</v>
      </c>
    </row>
    <row r="94">
      <c r="A94" s="12" t="n">
        <v>86</v>
      </c>
      <c r="B94" s="13" t="inlineStr">
        <is>
          <t>Analisis</t>
        </is>
      </c>
      <c r="C94" s="13" t="inlineStr">
        <is>
          <t>google/gemma-4-26b-a4b-it:free</t>
        </is>
      </c>
      <c r="D94" s="14" t="inlineStr">
        <is>
          <t>Apa hubungan antara literasi digital ASN dengan pencapaian tingkat kematangan pada indikator Sumber Daya Manusia Pemdi?</t>
        </is>
      </c>
      <c r="E94" s="14" t="inlineStr">
        <is>
          <t>Literasi digital yang rendah membatasi kemampuan ASN dalam mengoperasikan dan mengembangkan sistem digital secara optimal</t>
        </is>
      </c>
      <c r="F94" s="14" t="inlineStr">
        <is>
          <t>Hubungan antara literasi digital ASN dengan tingkat kematangan indikator Sumber Daya Manusia (SDM) pada SPBE adalah **hubungan sebab-akibat yang bersifat linear dan fundamental.**
Berikut adalah poin utamanya:
1.  **Komponen Penilaian:** Literasi digital ASN merupakan salah satu parameter utama dalam mengukur kompetensi SDM pada arsitektur dan tata kelola SPBE.
2.  **Peningkatan Kapasitas:** Semakin tinggi tingkat literasi digital ASN, maka kemampuan dalam mengoperasikan sistem, mengelola data digital, dan beradaptasi dengan teknologi informasi akan semakin meningkat.
3. de **Dampak pada Skor Kematangan:** Peningkatan kemampuan (literasi) ini secara langsung akan menaikkan skor pada aspek **SDM dalam SPBE**, karena kematangan SPBE tidak hanya dinilai dari infrastruktur, tetapi dari kemampuan aparatur dalam menjalankan proses bisnis berbasis elektronik.
**Kesimpulan:** Literasi digital ASN adalah **pendorong utama (driver)** untuk mencapai nilai kematangan (maturity level) yang lebih tinggi pada indikator SDM dalam evaluasi SPBE.</t>
        </is>
      </c>
      <c r="G94" s="15" t="n">
        <v>100</v>
      </c>
      <c r="H94" s="15" t="n">
        <v>43.62</v>
      </c>
      <c r="I94" s="15" t="n">
        <v>4.46</v>
      </c>
      <c r="J94" s="15" t="n">
        <v>89.2</v>
      </c>
      <c r="K94" s="15" t="n">
        <v>89.2</v>
      </c>
      <c r="L94" s="16" t="n">
        <v>0.108</v>
      </c>
      <c r="M94" s="16" t="n">
        <v>0.108</v>
      </c>
      <c r="N94" s="15" t="n">
        <v>10.8</v>
      </c>
      <c r="O94" s="17" t="inlineStr">
        <is>
          <t>PASSED</t>
        </is>
      </c>
      <c r="P94" s="16" t="n">
        <v>0.892</v>
      </c>
    </row>
    <row r="95">
      <c r="A95" s="12" t="n">
        <v>87</v>
      </c>
      <c r="B95" s="13" t="inlineStr">
        <is>
          <t>Ekstraksi</t>
        </is>
      </c>
      <c r="C95" s="13" t="inlineStr">
        <is>
          <t>google/gemma-4-26b-a4b-it:free</t>
        </is>
      </c>
      <c r="D95" s="14" t="inlineStr">
        <is>
          <t>Sebutkan tiga komponen utama yang umumnya menjadi fokus dalam transformasi Pemerintah Digital.</t>
        </is>
      </c>
      <c r="E95" s="14" t="inlineStr">
        <is>
          <t>Manusia (People / Culture), Proses (Process / Governance), Teknologi (Technology) yang harus berjalan selaras.</t>
        </is>
      </c>
      <c r="F95" s="14" t="inlineStr">
        <is>
          <t>Tiga komponen utama dalam transformasi Pemerintah Digital adalah:
1.  **Teknologi (Infrastruktur &amp; Aplikasi):** Digitalisasi layanan melalui integrasi sistem dan platform digital.
2. **Data (Data Governance):** Pengelolaan data yang terintegrasi, akurat, dan dapat dibagipakaikan (Satu Data Indonesia).
3.  **SDM/Budaya Kerja (Human Capital):** Kesiapan aparatur pemerintah dalam mengoperasikan teknologi dan perubahan budaya kerja digital.</t>
        </is>
      </c>
      <c r="G95" s="15" t="n">
        <v>100</v>
      </c>
      <c r="H95" s="15" t="n">
        <v>274.63</v>
      </c>
      <c r="I95" s="15" t="n">
        <v>4.5</v>
      </c>
      <c r="J95" s="15" t="n">
        <v>89.91</v>
      </c>
      <c r="K95" s="15" t="n">
        <v>89.91</v>
      </c>
      <c r="L95" s="16" t="n">
        <v>0.1009</v>
      </c>
      <c r="M95" s="16" t="n">
        <v>0.1009</v>
      </c>
      <c r="N95" s="15" t="n">
        <v>10.09</v>
      </c>
      <c r="O95" s="17" t="inlineStr">
        <is>
          <t>PASSED</t>
        </is>
      </c>
      <c r="P95" s="16" t="n">
        <v>0.8991</v>
      </c>
    </row>
    <row r="96">
      <c r="A96" s="12" t="n">
        <v>88</v>
      </c>
      <c r="B96" s="13" t="inlineStr">
        <is>
          <t>Faktual</t>
        </is>
      </c>
      <c r="C96" s="13" t="inlineStr">
        <is>
          <t>google/gemma-4-26b-a4b-it:free</t>
        </is>
      </c>
      <c r="D96" s="14" t="inlineStr">
        <is>
          <t>Bagaimana Tim Asesor Eksternal memverifikasi hasil Penilaian Mandiri Pemdi?</t>
        </is>
      </c>
      <c r="E96" s="14" t="inlineStr">
        <is>
          <t>Tim Asesor Eksternal menilai dokumen, melakukan interviu, dan visitasi untuk memverifikasi hasil Penilaian Mandiri.</t>
        </is>
      </c>
      <c r="F96" s="14" t="inlineStr">
        <is>
          <t>Tim Asesor Eksternal memverifikasi hasil Penilaian Mandiri Pemda melalui mekanisme **Audit Verifikasi (Audit Kepatuhan)** dengan tahapan sebagai berikut:
1.  **Verifikasi Dokumen (Desk Assessment):** Memeriksa kesesuaian antara indikator yang diklaim pada aplikasi dengan bukti dukung (*evidence*) berupa dokumen kebijakan (Perkada/Perda), dokumen teknis, atau tangkapan layar sistem.
2.  **Wawancara (Interview):** Melakukan tanya jawab dengan pengelola SPBE (Dinas Kominfo atau perangkat daerah terkait) untuk memastikan pemahaman dan implementasi nyata di lapangan.
3.  **Observasi/Uji Petik (On-site/Remote Audit):** Melakukan peninjauan langsung terhadap implementasi infrastruktur, aplikasi, atau tata kelola data untuk memastikan bahwa apa yang dilaporkan sesuai dengan kondisi aktual.
4.  **Validasi Skor:** Mencocokkan skor yang diberikan oleh Tim Internal (Pemda) dengan fakta hasil verifikasi untuk memastikan tidak ada *over-claim* (klaim berlebih) pada setiap domain SPBE.
**Dasar Verifikasi:** Merujuk pada instrumen evaluasi yang ditetapkan oleh Kementerian PANRB sesuai dengan Peraturan Presiden No. 95 Tahun 2018 tentang SPBE.</t>
        </is>
      </c>
      <c r="G96" s="15" t="n">
        <v>100</v>
      </c>
      <c r="H96" s="15" t="n">
        <v>7.89</v>
      </c>
      <c r="I96" s="15" t="n">
        <v>4.38</v>
      </c>
      <c r="J96" s="15" t="n">
        <v>87.69</v>
      </c>
      <c r="K96" s="15" t="n">
        <v>87.69</v>
      </c>
      <c r="L96" s="16" t="n">
        <v>0.1231</v>
      </c>
      <c r="M96" s="16" t="n">
        <v>0.1231</v>
      </c>
      <c r="N96" s="15" t="n">
        <v>12.31</v>
      </c>
      <c r="O96" s="17" t="inlineStr">
        <is>
          <t>PASSED</t>
        </is>
      </c>
      <c r="P96" s="16" t="n">
        <v>0.8769</v>
      </c>
    </row>
    <row r="97">
      <c r="A97" s="12" t="n">
        <v>89</v>
      </c>
      <c r="B97" s="13" t="inlineStr">
        <is>
          <t>Faktual</t>
        </is>
      </c>
      <c r="C97" s="13" t="inlineStr">
        <is>
          <t>google/gemma-4-26b-a4b-it:free</t>
        </is>
      </c>
      <c r="D97" s="14" t="inlineStr">
        <is>
          <t>Apa indikator untuk menilai kompetensi digital ASN dalam layanan digital pemerintah?</t>
        </is>
      </c>
      <c r="E97" s="14" t="inlineStr">
        <is>
          <t>Kompetensi digital ASN meliputi literasi digital, pemanfaatan sistem, pengelolaan data, keamanan digital, kolaborasi digital, etika, dan adaptasi teknologi.</t>
        </is>
      </c>
      <c r="F97" s="14" t="inlineStr">
        <is>
          <t>Berdasarkan kerangka kerja literasi digital dan standar kompetensi teknis dalam ekosistem SPBE, indikator kompetensi digital ASN dinilai melalui empat pilar utama:
1.  **Digital Skills (Kecakapan Digital):** Kemampuan mengoperasikan perangkat keras, perangkat lunak, serta sistem aplikasi layanan publik secara efisien.
2.ly **Digital Culture (Budaya Digital):** Kemampuan membangun budaya kerja berbasis digital, adaptasi terhadap perubahan teknologi, dan penerapan nilai-nilai kebangsaan dalam ruang digital.
3.  **Digital Ethics (Etika Digital):** Kemampuan menaati etika berkomunikasi di ruang digital, menjaga kerahasiaan data, serta memiliki integritas dalam memberikan layanan digital.
4.  **Digital Safety (Keamanan Digital):** Kemampuan melindungi data pribadi pengguna (masyarakat) dan data pemerintah, serta kesadaran terhadap ancaman keamanan siber.</t>
        </is>
      </c>
      <c r="G97" s="15" t="n">
        <v>100</v>
      </c>
      <c r="H97" s="15" t="n">
        <v>174.92</v>
      </c>
      <c r="I97" s="15" t="n">
        <v>4.53</v>
      </c>
      <c r="J97" s="15" t="n">
        <v>90.68000000000001</v>
      </c>
      <c r="K97" s="15" t="n">
        <v>90.68000000000001</v>
      </c>
      <c r="L97" s="16" t="n">
        <v>0.09320000000000001</v>
      </c>
      <c r="M97" s="16" t="n">
        <v>0.09320000000000001</v>
      </c>
      <c r="N97" s="15" t="n">
        <v>9.32</v>
      </c>
      <c r="O97" s="17" t="inlineStr">
        <is>
          <t>PASSED</t>
        </is>
      </c>
      <c r="P97" s="16" t="n">
        <v>0.9068000000000001</v>
      </c>
    </row>
    <row r="98">
      <c r="A98" s="12" t="n">
        <v>90</v>
      </c>
      <c r="B98" s="13" t="inlineStr">
        <is>
          <t>Faktual</t>
        </is>
      </c>
      <c r="C98" s="13" t="inlineStr">
        <is>
          <t>google/gemma-4-26b-a4b-it:free</t>
        </is>
      </c>
      <c r="D98" s="14" t="inlineStr">
        <is>
          <t>Bagaimana forum koordinasi Pemdi membantu kolaborasi antar unit pemerintah dan pihak eksternal?</t>
        </is>
      </c>
      <c r="E98" s="14" t="inlineStr">
        <is>
          <t>Forum koordinasi digunakan untuk pertukaran informasi, peningkatan kapasitas, dan kolaborasi antar instansi pemerintah dan pihak eksternal.</t>
        </is>
      </c>
      <c r="F98" s="14" t="inlineStr">
        <is>
          <t>Sebagai ahli SPBE, berikut adalah jawaban langsung terkait peran forum koordinasi dalam memperkuat kolaborasi:
Forum koordinasi (seperti Koordinasi Teknis atau Rapat Koordinasi) membantu kolaborasi melalui tiga mekanisme utama:
1.  **Sinkronisasi Kebijakan &amp; Program:** Menghindari tumpang tindih (duplikasi) program kerja antar unit pemerintah dan memastikan program selaras dengan kerangka arsitektur SPBE nasional/daerah.
2.thought **Integrasi Data &amp; Layanan:** Menjembatani ego sektoral untuk mendorong penggunaan **Satu Data Indonesia**, sehingga interoperabilitas data antar instansi dapat tercapai.
3.  **Mitigasi Risiko &amp; Sumber Daya:** Memfasilitasi pembagian sumber daya (seperti penggunaan Pusat Data Nasional/PDN) dan menyelaraskan standar teknis agar pihak eksternal (vendor/masyarakat) dapat terintegrasi dengan ekosistem digital pemerintah secara aman.
**Intinya:** Forum koordinasi berfungsi sebagai wadah **harmonisasi** (menghapus sekat), **integrasi** (penyatuan sistem), dan **sinkronisasi** (penyelarasan langkah) antar pemangku kepentingan.</t>
        </is>
      </c>
      <c r="G98" s="15" t="n">
        <v>100</v>
      </c>
      <c r="H98" s="15" t="n">
        <v>75.93000000000001</v>
      </c>
      <c r="I98" s="15" t="n">
        <v>4.33</v>
      </c>
      <c r="J98" s="15" t="n">
        <v>86.54000000000001</v>
      </c>
      <c r="K98" s="15" t="n">
        <v>86.54000000000001</v>
      </c>
      <c r="L98" s="16" t="n">
        <v>0.1346</v>
      </c>
      <c r="M98" s="16" t="n">
        <v>0.1346</v>
      </c>
      <c r="N98" s="15" t="n">
        <v>13.46</v>
      </c>
      <c r="O98" s="17" t="inlineStr">
        <is>
          <t>PASSED</t>
        </is>
      </c>
      <c r="P98" s="16" t="n">
        <v>0.8653999999999999</v>
      </c>
    </row>
    <row r="99">
      <c r="A99" s="12" t="n">
        <v>91</v>
      </c>
      <c r="B99" s="13" t="inlineStr">
        <is>
          <t>Faktual</t>
        </is>
      </c>
      <c r="C99" s="13" t="inlineStr">
        <is>
          <t>google/gemma-4-26b-a4b-it:free</t>
        </is>
      </c>
      <c r="D99" s="14" t="inlineStr">
        <is>
          <t>Bagaimana interoperabilitas data mempengaruhi kualitas indeks Pemdi nasional?</t>
        </is>
      </c>
      <c r="E99" s="14" t="inlineStr">
        <is>
          <t>Interoperabilitas data antar sistem memungkinkan pengukuran indeks Pemdi yang menyeluruh dan konsisten.</t>
        </is>
      </c>
      <c r="F99" s="14" t="inlineStr">
        <is>
          <t>Interoperabilitas data berpengaruh **signifikan dan positif** terhadap nilai Indeks SPBE (khususnya pada domain **Arsitektur dan Model Bisnis** serta **Layanan SPBE**) melalui cara berikut:
1.  : **Menghilangkan Silo Data:** Integrasi data antar instansi pemerintah (melalui berbagi pakai data) mengurangi duplikasi data dan ketidaksinkronan informasi nasional.
2.  **Efisiensi Birokrasi:** Memungkinkan pertukaran data secara otomatis dan *real-time* antar instansi tanpa perlu pengumpulan data manual yang berulang (mengurangi beban administratif).
3.  **Akurasi Pengambilan Keputusan:** Data yang terintegrasi menyediakan satu sumber kebenaran (*single source of truth*), yang meningkatkan akurasi kebijakan pemerintah berbasis data (*data-driven policy*).
4.  **Peningkatan Layanan Publik:** Mempercepat proses layanan digital karena instansi tidak perlu lagi meminta dokumen yang sudah dimiliki oleh instansi lain (prinsip *once-only principle*).
**Kesimpulan:** Semakin tinggi tingkat interoperabilitas data (melalui integrasi melalui portal nasional/Satu Data Indonesia), maka semakin tinggi kualitas tata kelola data dalam penilaian Indeks SPBE nasional.</t>
        </is>
      </c>
      <c r="G99" s="15" t="n">
        <v>100</v>
      </c>
      <c r="H99" s="15" t="n">
        <v>192.92</v>
      </c>
      <c r="I99" s="15" t="n">
        <v>4.26</v>
      </c>
      <c r="J99" s="15" t="n">
        <v>85.2</v>
      </c>
      <c r="K99" s="15" t="n">
        <v>85.2</v>
      </c>
      <c r="L99" s="16" t="n">
        <v>0.148</v>
      </c>
      <c r="M99" s="16" t="n">
        <v>0.148</v>
      </c>
      <c r="N99" s="15" t="n">
        <v>14.8</v>
      </c>
      <c r="O99" s="17" t="inlineStr">
        <is>
          <t>PASSED</t>
        </is>
      </c>
      <c r="P99" s="16" t="n">
        <v>0.852</v>
      </c>
    </row>
    <row r="100">
      <c r="A100" s="12" t="n">
        <v>92</v>
      </c>
      <c r="B100" s="13" t="inlineStr">
        <is>
          <t>Faktual</t>
        </is>
      </c>
      <c r="C100" s="13" t="inlineStr">
        <is>
          <t>google/gemma-4-26b-a4b-it:free</t>
        </is>
      </c>
      <c r="D100" s="14" t="inlineStr">
        <is>
          <t>Apa metode yang digunakan untuk mengevaluasi pengelolaan data dalam Pemdi?</t>
        </is>
      </c>
      <c r="E100" s="14" t="inlineStr">
        <is>
          <t>Evaluasi pengelolaan data dilakukan melalui kuesioner untuk menilai tata kelola data, metadata, dan interoperabilitas.</t>
        </is>
      </c>
      <c r="F100" s="14" t="inlineStr">
        <is>
          <t>Metode yang digunakan untuk mengevaluasi pengelolaan data dalam kerangka SPBE adalah melalui **Audit Teknologi Informasi** dan **Evaluasi Kematangan Penyelenggaraan SPBE** (berdasarkan Peraturan Presiden No. 95 Tahun 2018).
Secara spesifik, evaluasi dilakukan dengan parameter:
1. **Kesesuaian dengan Standar Data** (sesuai standar interoperabilitas data nasional).
2. **Keamanan Data** (penerapan protokol keamanan siber).
3. **Ketersediaan dan Aksesibilitas** (kemudahan akses bagi pemangku kepentingan yang berwenang).
4. **Kepatuhan terhadap Regulasi** (seperti UU PDP dan aturan teknis Satu Data Indonesia).</t>
        </is>
      </c>
      <c r="G100" s="15" t="n">
        <v>100</v>
      </c>
      <c r="H100" s="15" t="n">
        <v>161.28</v>
      </c>
      <c r="I100" s="15" t="n">
        <v>4.33</v>
      </c>
      <c r="J100" s="15" t="n">
        <v>86.62</v>
      </c>
      <c r="K100" s="15" t="n">
        <v>86.62</v>
      </c>
      <c r="L100" s="16" t="n">
        <v>0.1338</v>
      </c>
      <c r="M100" s="16" t="n">
        <v>0.1338</v>
      </c>
      <c r="N100" s="15" t="n">
        <v>13.38</v>
      </c>
      <c r="O100" s="17" t="inlineStr">
        <is>
          <t>PASSED</t>
        </is>
      </c>
      <c r="P100" s="16" t="n">
        <v>0.8662</v>
      </c>
    </row>
    <row r="101">
      <c r="A101" s="12" t="n">
        <v>93</v>
      </c>
      <c r="B101" s="13" t="inlineStr">
        <is>
          <t>Faktual</t>
        </is>
      </c>
      <c r="C101" s="13" t="inlineStr">
        <is>
          <t>google/gemma-4-26b-a4b-it:free</t>
        </is>
      </c>
      <c r="D101" s="14" t="inlineStr">
        <is>
          <t>Bagaimana kriteria penilaian keamanan siber Pemdi diterapkan pada instansi pemerintah?</t>
        </is>
      </c>
      <c r="E101" s="14" t="inlineStr">
        <is>
          <t>Keamanan Pemdi dinilai melalui audit keamanan, penerapan kriptografi, dan kapabilitas penanganan insiden siber.</t>
        </is>
      </c>
      <c r="F101" s="14" t="inlineStr">
        <is>
          <t>Kriteria penilaian keamanan siber pada instansi pemerintah mengacu pada standar **Indeks Keamanan Informasi (IKI)** yang dikelola oleh BSSN. Penilaian dilakukan melalui aspek-aspek berikut:
1.  **Kepatuhan Regulasi:** Kesesuaian implementasi kebijakan keamanan informasi dengan regulasi nasional (UU PDP, Perpres SPBE, dan standar ISO/IEC 27001).
2.  **Manajemen Risiko:** Adanya proses identifikasi, penilaian, dan mitigasi risiko terhadap aset informasi secara berkelanjutan.
3.thought
&lt;channel|&gt;Kriteria penilaian keamanan siber pada instansi pemerintah mengacu pada parameter **Indeks Keamanan Informasi** yang ditetapkan oleh **BSSN**. Penilaian diterapkan melalui tiga pilar utama:
1.  **Aspek Tata Kelola (Governance):**
    *   Adanya kebijakan, prosedur, dan standar operasional (SOP) keamanan informasi.
    thought
&lt;channel|&gt;Kriteria penilaian keamanan siber pada instansi pemerintah mengacu pada standar **Indeks Keamanan Informasi** yang ditetapkan oleh **BSSN**. Penilaian diterapkan melalui parameter berikut:
1.  **Manajemen Risiko Siber:** Kemampuan instansi dalam mengidentifikasi, menilai, dan memitigasi risiko terhadap aset informasi.
2.  **Keamanan Infrastruktur dan Aplikasi:** Implementasi proteksi pada jaringan, sistem operasi, basis data, serta pengamanan siklus hidup pengembangan aplikasi (SDLC).
3.  Perlindungan Data Pribadi (PDP): Kepatuhan terhadap pengelolaan data sesuai regulasi untuk mencegah kebocoran data.
4.  **Kesiapan Insiden (Incident Response):** Keberadaan tim penanganan insiden (CSIRT) dan prosedur pemulihan setelah terjadi serangan siber.
5.  **Audit dan Kepatuhan:** Kesesua-suaian implementasi dengan standar internasional (seperti ISO/IEC 27001) dan regulasi nasional yang berlaku.</t>
        </is>
      </c>
      <c r="G101" s="15" t="n">
        <v>100</v>
      </c>
      <c r="H101" s="15" t="n">
        <v>75.83</v>
      </c>
      <c r="I101" s="15" t="n">
        <v>4.39</v>
      </c>
      <c r="J101" s="15" t="n">
        <v>87.81</v>
      </c>
      <c r="K101" s="15" t="n">
        <v>87.81</v>
      </c>
      <c r="L101" s="16" t="n">
        <v>0.1219</v>
      </c>
      <c r="M101" s="16" t="n">
        <v>0.1219</v>
      </c>
      <c r="N101" s="15" t="n">
        <v>12.19</v>
      </c>
      <c r="O101" s="17" t="inlineStr">
        <is>
          <t>PASSED</t>
        </is>
      </c>
      <c r="P101" s="16" t="n">
        <v>0.8781</v>
      </c>
    </row>
    <row r="102">
      <c r="A102" s="12" t="n">
        <v>94</v>
      </c>
      <c r="B102" s="13" t="inlineStr">
        <is>
          <t>Faktual</t>
        </is>
      </c>
      <c r="C102" s="13" t="inlineStr">
        <is>
          <t>google/gemma-4-26b-a4b-it:free</t>
        </is>
      </c>
      <c r="D102" s="14" t="inlineStr">
        <is>
          <t>Bagaimana infrastruktur Pemdi mendukung aplikasi prioritas dan interoperabilitas?</t>
        </is>
      </c>
      <c r="E102" s="14" t="inlineStr">
        <is>
          <t>Infrastruktur Pemdi mendukung aplikasi prioritas melalui perangkat keras, perangkat lunak, dan sistem yang interoperabel.</t>
        </is>
      </c>
      <c r="F102" s="14" t="inlineStr">
        <is>
          <t>Infrastruktur Pemerintah Daerah (Pemda) mendukung aplikasi prioritas dan interoperabilitas melalui tiga pilar utama:
1.  **Penyediaan Infrastruktur Digital Terpusat (Data Center/Cloud):** Menggunakan pusat data yang terstandarisasi (sesuai arsitektur SPBE Nasional) untuk menjamin kapasitas penyimpanan, keamanan, dan performa aplikasi prioritas agar dapat diakses secara stabil.
2.  **Penerapan Arsitektur Integrasi (API &amp; Middleware):** Menyediakan antarmuka pemrograman aplikasi (*Application Programming Interface*/API) yang memungkinkan antar-aplikasi saling bertukar data secara otomatis tanpa perlu input ulang (mengurangi silo data).
3.  **Implementasi Standar Data dan Interoperabilitas:** Menerapkan standar metadata dan format data yang seragam, sehingga data dari berbagai aplikasi dapat saling berkomunikasi dan diintegrasikan ke dalam satu platform (seperti Portal Pelayanan Publik atau Sistem Informasi Pemerintahan Daerah).</t>
        </is>
      </c>
      <c r="G102" s="15" t="n">
        <v>100</v>
      </c>
      <c r="H102" s="15" t="n">
        <v>15.29</v>
      </c>
      <c r="I102" s="15" t="n">
        <v>4.37</v>
      </c>
      <c r="J102" s="15" t="n">
        <v>87.45999999999999</v>
      </c>
      <c r="K102" s="15" t="n">
        <v>87.45999999999999</v>
      </c>
      <c r="L102" s="16" t="n">
        <v>0.1254</v>
      </c>
      <c r="M102" s="16" t="n">
        <v>0.1254</v>
      </c>
      <c r="N102" s="15" t="n">
        <v>12.54</v>
      </c>
      <c r="O102" s="17" t="inlineStr">
        <is>
          <t>PASSED</t>
        </is>
      </c>
      <c r="P102" s="16" t="n">
        <v>0.8746</v>
      </c>
    </row>
    <row r="103">
      <c r="A103" s="12" t="n">
        <v>95</v>
      </c>
      <c r="B103" s="13" t="inlineStr">
        <is>
          <t>Faktual</t>
        </is>
      </c>
      <c r="C103" s="13" t="inlineStr">
        <is>
          <t>google/gemma-4-26b-a4b-it:free</t>
        </is>
      </c>
      <c r="D103" s="14" t="inlineStr">
        <is>
          <t>Bagaimana evaluasi kepuasan pengguna layanan digital dilakukan di instansi pemerintah?</t>
        </is>
      </c>
      <c r="E103" s="14" t="inlineStr">
        <is>
          <t>Kepuasan pengguna diukur melalui fasilitas dukungan dan pengelolaan umpan balik untuk meningkatkan layanan digital.</t>
        </is>
      </c>
      <c r="F103" s="14" t="inlineStr">
        <is>
          <t>Evaluasi kepuasan pengguna layanan digital di instansi pemerintah dilakukan melalui mekanisme berikut:
1.  **Instrumen Pengukuran:** Menggunakan survei kepuasan masyarakat (SKM) yang telah didigitalisasi, yang mengukur dimensi kemudahan penggunaan (*usability*), kecepatan layanan, keandalan sistem, dan kualitas informasi.
2.  um/Metode:**
    *   **Survei Digital:** Penyediaan fitur rating/feedback langsung pada aplikasi atau melalui kuesioner online (Google Forms/sistem internal).
    *   **Analisis Log &amp; Data:** Memantau *bounce rate*, waktu penyelesaian transaksi, dan jumlah keluhan di kanal aduan (seperti SP4N-LAPOR!).
3._**Indikator Utama (KPI):**_
    *   *User Satisfaction Score* (skala Likert).
    *   *System Usability Scale* (SUS) untuk mengukur kemudahan antarmuka.
    *   *Customer Effort Score* (CES) untuk mengukur kemudahan menyelesaikan proses dalam sistem.
4.  **Landasan Kerja:** Selaras dengan standar **Indeks SPBE** pada domain Manajemen, khususnya pada aspek kualitas layanan digital.
5.  **Tindak Lanjut:** Hasil evaluasi wajib dijadikan basis perbaikan (*continuous improvement*) pada siklus pengembangan sistem informasi (SDLC) berikutnya.</t>
        </is>
      </c>
      <c r="G103" s="15" t="n">
        <v>100</v>
      </c>
      <c r="H103" s="15" t="n">
        <v>89.45</v>
      </c>
      <c r="I103" s="15" t="n">
        <v>4.36</v>
      </c>
      <c r="J103" s="15" t="n">
        <v>87.15000000000001</v>
      </c>
      <c r="K103" s="15" t="n">
        <v>87.15000000000001</v>
      </c>
      <c r="L103" s="16" t="n">
        <v>0.1285</v>
      </c>
      <c r="M103" s="16" t="n">
        <v>0.1285</v>
      </c>
      <c r="N103" s="15" t="n">
        <v>12.85</v>
      </c>
      <c r="O103" s="17" t="inlineStr">
        <is>
          <t>PASSED</t>
        </is>
      </c>
      <c r="P103" s="16" t="n">
        <v>0.8715000000000001</v>
      </c>
    </row>
    <row r="104">
      <c r="A104" s="12" t="n">
        <v>96</v>
      </c>
      <c r="B104" s="13" t="inlineStr">
        <is>
          <t>Faktual</t>
        </is>
      </c>
      <c r="C104" s="13" t="inlineStr">
        <is>
          <t>google/gemma-4-26b-a4b-it:free</t>
        </is>
      </c>
      <c r="D104" s="14" t="inlineStr">
        <is>
          <t>Apa langkah evaluasi pemanfaatan data geospasial untuk mendukung perencanaan pemerintah?</t>
        </is>
      </c>
      <c r="E104" s="14" t="inlineStr">
        <is>
          <t>Evaluasi data geospasial memastikan data akurat, terintegrasi, dan mendukung layanan digital pemerintah.</t>
        </is>
      </c>
      <c r="F104" s="14" t="inlineStr">
        <is>
          <t>Langkah evaluasi pemanfaatan data geospasial untuk perencanaan pemerintah adalah:
1.  **Identifikasi Ketersediaan Data:** Memastikan data geospasial (peta tematik, citra satelit, batas administrasi) telah tersedia di **Kagami/Ina-Geoportal** sesuai standar One Map Policy.
2.thought
3.  **Audit Interoperabilitas:** Memastikan data dapat diintegrasikan antar instansi (interoperabilitas data) melalui standar metadata yang seragam.
3.  **Uji Relevansi Perencanaan:** Menilai sejauh mana data geospasial digunakan dalam penyusunan dokumen perencanaan (RPJPN/RPJMN/RPJMD) untuk menghindari tumpang tindih pemanfaatan lahan/ruang.
4.0**Analisis Akurasi dan Ketepatan:** Memverifikasi ketepatan koordinat dan pemutakhiran data terbaru agar keputusan perencanaan tidak salah sasaran.
5.  **Evaluasi Dampak (Outcome):** Menilai efektivitas penggunaan data dalam pengambilan keputusan (misal: ketepatan lokasi bantuan sosial, penataan ruang, atau mitigasi bencana).</t>
        </is>
      </c>
      <c r="G104" s="15" t="n">
        <v>100</v>
      </c>
      <c r="H104" s="15" t="n">
        <v>175.75</v>
      </c>
      <c r="I104" s="15" t="n">
        <v>4.4</v>
      </c>
      <c r="J104" s="15" t="n">
        <v>88</v>
      </c>
      <c r="K104" s="15" t="n">
        <v>88</v>
      </c>
      <c r="L104" s="16" t="n">
        <v>0.12</v>
      </c>
      <c r="M104" s="16" t="n">
        <v>0.12</v>
      </c>
      <c r="N104" s="15" t="n">
        <v>12</v>
      </c>
      <c r="O104" s="17" t="inlineStr">
        <is>
          <t>PASSED</t>
        </is>
      </c>
      <c r="P104" s="16" t="n">
        <v>0.88</v>
      </c>
    </row>
    <row r="105">
      <c r="A105" s="12" t="n">
        <v>97</v>
      </c>
      <c r="B105" s="13" t="inlineStr">
        <is>
          <t>Faktual</t>
        </is>
      </c>
      <c r="C105" s="13" t="inlineStr">
        <is>
          <t>google/gemma-4-26b-a4b-it:free</t>
        </is>
      </c>
      <c r="D105" s="14" t="inlineStr">
        <is>
          <t>Bagaimana tata kelola statistik sektoral digunakan untuk mendukung laporan nasional?</t>
        </is>
      </c>
      <c r="E105" s="14" t="inlineStr">
        <is>
          <t>Indikator Pembangunan Statistik memastikan unit kerja menghasilkan data akurat dan terintegrasi untuk laporan nasional.</t>
        </is>
      </c>
      <c r="F105" s="14" t="inlineStr">
        <is>
          <t>Tata kelola statistik sektoral mendukung laporan nasional melalui mekanisme berikut:
1.  **Standardisasi Data:** Penerapan standar data, metadata, klasifikasi, dan interoperabilitas sesuai **Peraturan BPS No. 2 Tahun 2022** agar data antar instansi seragam.
2.  ing **Integrasi Data (Satu Data Indonesia):** Proses pengumpulan, pemrosesan, dan penyajian data dari berbagai instansi pemerintah ke dalam basis data nasional sesuai mandat **Perpres No. 39 Tahun 2019**.
3.  **Validasi &amp; Verifikasi:** Pemanfaatan fungsi Pembina Statistik (BPS) untuk memastikan data yang dikumpulkan oleh instansi sektoral memenuhi prinsip akurasi dan akuntabilitas sebelum dilaporkan.
4.  **Output Laporan Nasional:** Data sektoral yang telah terintegrasi dan tervalidasi menjadi bahan utama penyusunan indikator pembangunan nasional (seperti SDGs, Indeks Pembangunan Manusia, dan laporan ekonomi) yang digunakan pemerintah pusat untuk pengambilan kebijakan berbasis data (*data-driven policy*).
**Intinya:** Statistik sektoral berfungsi sebagai **penyedia data dasar** yang jika dikelola dengan standar yang sama, akan membentuk **satu kesatuan data nasional** yang akurat untuk laporan pembangunan negara.</t>
        </is>
      </c>
      <c r="G105" s="15" t="n">
        <v>100</v>
      </c>
      <c r="H105" s="15" t="n">
        <v>49.01</v>
      </c>
      <c r="I105" s="15" t="n">
        <v>4.36</v>
      </c>
      <c r="J105" s="15" t="n">
        <v>87.25</v>
      </c>
      <c r="K105" s="15" t="n">
        <v>87.25</v>
      </c>
      <c r="L105" s="16" t="n">
        <v>0.1275</v>
      </c>
      <c r="M105" s="16" t="n">
        <v>0.1275</v>
      </c>
      <c r="N105" s="15" t="n">
        <v>12.75</v>
      </c>
      <c r="O105" s="17" t="inlineStr">
        <is>
          <t>PASSED</t>
        </is>
      </c>
      <c r="P105" s="16" t="n">
        <v>0.8725000000000001</v>
      </c>
    </row>
    <row r="106">
      <c r="A106" s="12" t="n">
        <v>98</v>
      </c>
      <c r="B106" s="13" t="inlineStr">
        <is>
          <t>Faktual</t>
        </is>
      </c>
      <c r="C106" s="13" t="inlineStr">
        <is>
          <t>google/gemma-4-26b-a4b-it:free</t>
        </is>
      </c>
      <c r="D106" s="14" t="inlineStr">
        <is>
          <t>Apa tujuan prosedur reviu Arsitektur Pemdi?</t>
        </is>
      </c>
      <c r="E106" s="14" t="inlineStr">
        <is>
          <t>Reviu Arsitektur Pemdi dilakukan untuk memastikan transformasi digital berjalan terpadu sesuai pedoman.</t>
        </is>
      </c>
      <c r="F106" s="14" t="inlineStr">
        <is>
          <t>Tujuan prosedur reviu Arsitektur Pemerintahan Daerah (Pemdi) adalah:
1.  **Memastikan Keselarasan:** Menjamin arsitektur daerah selaras dengan Arsitektur Nasional dan rencana strategis instansi.
2.thought
3.  **Menjamin Kualitas:** Memastikan dokumentasi arsitektur memenuhi standar teknis dan tata kelola yang ditetapkan.
3.thought
4.  **Mitigasi Risiko:** Mengidentifikasi ketidaksesuaen atau kesalahan dalam pemetaan proses bisnis, data, aplikasi, dan infrastruktur sebelum diimplementasikan.
5.thought
6.  **Validasi Kepatuhan:** Memastikan seluruh elemen arsitektur telah sesuai dengan regulasi tata kelola SPBE yang berlaku.</t>
        </is>
      </c>
      <c r="G106" s="15" t="n">
        <v>100</v>
      </c>
      <c r="H106" s="15" t="n">
        <v>70.67</v>
      </c>
      <c r="I106" s="15" t="n">
        <v>4.47</v>
      </c>
      <c r="J106" s="15" t="n">
        <v>89.40000000000001</v>
      </c>
      <c r="K106" s="15" t="n">
        <v>89.40000000000001</v>
      </c>
      <c r="L106" s="16" t="n">
        <v>0.106</v>
      </c>
      <c r="M106" s="16" t="n">
        <v>0.106</v>
      </c>
      <c r="N106" s="15" t="n">
        <v>10.6</v>
      </c>
      <c r="O106" s="17" t="inlineStr">
        <is>
          <t>PASSED</t>
        </is>
      </c>
      <c r="P106" s="16" t="n">
        <v>0.894</v>
      </c>
    </row>
    <row r="107">
      <c r="A107" s="12" t="n">
        <v>99</v>
      </c>
      <c r="B107" s="13" t="inlineStr">
        <is>
          <t>Ekstraksi</t>
        </is>
      </c>
      <c r="C107" s="13" t="inlineStr">
        <is>
          <t>google/gemma-4-26b-a4b-it:free</t>
        </is>
      </c>
      <c r="D107" s="14" t="inlineStr">
        <is>
          <t>Sebutkan tiga metode yang umum digunakan untuk mengelola ketidakpastian dalam perencanaan Pemerintah Digital.</t>
        </is>
      </c>
      <c r="E107" s="14" t="inlineStr">
        <is>
          <t>Analisis skenario, simulasi Monte Carlo, dan forecasting.</t>
        </is>
      </c>
      <c r="F107" s="14" t="inlineStr">
        <is>
          <t>Tiga metode yang umum digunakan untuk mengelola ketidakpastian dalam perencanaan Pemerintah Digital adalah:
1. **Scenario Planning (Perencanaan Skenario):** Menyusun berbagai kemungkinan masa depan untuk mengantisipasi perubahan teknologi dan kebutuhan masyarakat.
2. **Agile Planning (Perencanaan Tangkas):** Menggunakan pendekatan iteratif (seperti Scrum atau Kanban) agar perencanaan dapat cepat beradaptasi terhadap perubahan di tengah jalan.
3. **Risk-Based Planning (Perencanaan Berbasis Risiko):** Mengidentifikasi, menganalisis, dan memitigasi potensi hambatan (seperti kegagalan sistem atau kebocoran data) sebelum implementasi dilakukan.</t>
        </is>
      </c>
      <c r="G107" s="15" t="n">
        <v>100</v>
      </c>
      <c r="H107" s="15" t="n">
        <v>10.51</v>
      </c>
      <c r="I107" s="15" t="n">
        <v>4.36</v>
      </c>
      <c r="J107" s="15" t="n">
        <v>87.17</v>
      </c>
      <c r="K107" s="15" t="n">
        <v>87.17</v>
      </c>
      <c r="L107" s="16" t="n">
        <v>0.1283</v>
      </c>
      <c r="M107" s="16" t="n">
        <v>0.1283</v>
      </c>
      <c r="N107" s="15" t="n">
        <v>12.83</v>
      </c>
      <c r="O107" s="17" t="inlineStr">
        <is>
          <t>PASSED</t>
        </is>
      </c>
      <c r="P107" s="16" t="n">
        <v>0.8717</v>
      </c>
    </row>
    <row r="108">
      <c r="A108" s="12" t="n">
        <v>100</v>
      </c>
      <c r="B108" s="13" t="inlineStr">
        <is>
          <t>Faktual</t>
        </is>
      </c>
      <c r="C108" s="13" t="inlineStr">
        <is>
          <t>google/gemma-4-26b-a4b-it:free</t>
        </is>
      </c>
      <c r="D108" s="14" t="inlineStr">
        <is>
          <t>Bagaimana mekanisme tindak lanjut hasil reviu Pemdi dijalankan untuk meningkatkan layanan digital?</t>
        </is>
      </c>
      <c r="E108" s="14" t="inlineStr">
        <is>
          <t>Hasil reviu ditindaklanjuti melalui penerapan perbaikan dan peningkatan layanan digital sesuai pedoman.</t>
        </is>
      </c>
      <c r="F108" s="14" t="inlineStr">
        <is>
          <t>Mekanisme tindak lanjut hasil reviu Pemantauan dan Evaluasi Digital Indonesia (Pemdi) dijalankan melalui tahapan berikut:
1.  **Analisis Kesenjangan (Gap Analysis):** Pemerintah (Pusat/Daerah) melakukan identifikasi terhadap indikator yang memperoleh skor rendah atau belum memenuhi standar maturitas.
2.s **Penyusunan Rencana Aksi:** Menyusun daftar perbaikan spesifik yang mencakup aspek Tata Kelola, Manajemen, Layanan, Infrastruktur, dan Keamanan Siber.
3.s **Alokasi Sumber Daya:** Mengintegrasikan rencana perbaikan ke dalam dokumen perencanaan (seperti RKPD/Renja) dan penganggaran untuk memastikan ketersediaan SDM dan infrastruktur.
4.s **Implementasi Perbaikan:** Melaksanakan perbaikan teknis (interoperabilitas data, integrasi sistem, keamanan informasi) dan non-teknis (regulasi, SDM).
5.s **Monitoring dan Re-evaluasi:** Melakukan pemantauan berkala untuk memastikan perbaikan telah diimplementasikan sebelum siklus evaluasi Pemdi berikutnya.
**Inti Strategi:** Mengubah temuan rendah menjadi program kerja nyata dalam kerangka implementasi SPBЕ.</t>
        </is>
      </c>
      <c r="G108" s="15" t="n">
        <v>100</v>
      </c>
      <c r="H108" s="15" t="n">
        <v>60.48</v>
      </c>
      <c r="I108" s="15" t="n">
        <v>4.3</v>
      </c>
      <c r="J108" s="15" t="n">
        <v>86.03</v>
      </c>
      <c r="K108" s="15" t="n">
        <v>86.03</v>
      </c>
      <c r="L108" s="16" t="n">
        <v>0.1397</v>
      </c>
      <c r="M108" s="16" t="n">
        <v>0.1397</v>
      </c>
      <c r="N108" s="15" t="n">
        <v>13.97</v>
      </c>
      <c r="O108" s="17" t="inlineStr">
        <is>
          <t>PASSED</t>
        </is>
      </c>
      <c r="P108" s="16" t="n">
        <v>0.8603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2026-07-06T05:22:54Z</dcterms:created>
  <dcterms:modified xsi:type="dcterms:W3CDTF">2026-07-06T05:22:54Z</dcterms:modified>
</cp:coreProperties>
</file>