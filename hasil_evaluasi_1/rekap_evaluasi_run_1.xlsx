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 Perbandingan" sheetId="2" state="visible" r:id="rId2"/>
  </sheets>
  <definedNames/>
  <calcPr calcId="124519" fullCalcOnLoad="1"/>
</workbook>
</file>

<file path=xl/styles.xml><?xml version="1.0" encoding="utf-8"?>
<styleSheet xmlns="http://schemas.openxmlformats.org/spreadsheetml/2006/main">
  <numFmts count="2">
    <numFmt numFmtId="164" formatCode="0.00&quot;%&quot;"/>
    <numFmt numFmtId="165" formatCode="0.0000"/>
  </numFmts>
  <fonts count="6">
    <font>
      <name val="Calibri"/>
      <family val="2"/>
      <color theme="1"/>
      <sz val="11"/>
      <scheme val="minor"/>
    </font>
    <font>
      <name val="Calibri"/>
      <b val="1"/>
      <color rgb="001F497D"/>
      <sz val="16"/>
    </font>
    <font>
      <name val="Calibri"/>
      <sz val="11"/>
    </font>
    <font>
      <name val="Calibri"/>
      <b val="1"/>
      <color rgb="001F497D"/>
      <sz val="12"/>
    </font>
    <font>
      <name val="Calibri"/>
      <b val="1"/>
      <color rgb="00FFFFFF"/>
      <sz val="11"/>
    </font>
    <font>
      <name val="Calibri"/>
      <b val="1"/>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5" fillId="3" borderId="1" pivotButton="0" quotePrefix="0" xfId="0"/>
    <xf numFmtId="0" fontId="5" fillId="4" borderId="1" pivotButton="0" quotePrefix="0" xfId="0"/>
    <xf numFmtId="164" fontId="5" fillId="0" borderId="1" pivotButton="0" quotePrefix="0" xfId="0"/>
    <xf numFmtId="2" fontId="5"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2" fontId="2" fillId="0" borderId="1" applyAlignment="1" pivotButton="0" quotePrefix="0" xfId="0">
      <alignment horizontal="right" vertical="top"/>
    </xf>
    <xf numFmtId="165" fontId="2" fillId="0" borderId="1" applyAlignment="1" pivotButton="0" quotePrefix="0" xfId="0">
      <alignment horizontal="right" vertical="top"/>
    </xf>
    <xf numFmtId="0" fontId="5"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12" customWidth="1" min="1" max="1"/>
    <col width="45" customWidth="1" min="2" max="2"/>
    <col width="53" customWidth="1" min="3" max="3"/>
  </cols>
  <sheetData>
    <row r="1"/>
    <row r="2">
      <c r="B2" s="1" t="inlineStr">
        <is>
          <t>LAPORAN EVALUASI PERFORMA LLM (BASELINE)</t>
        </is>
      </c>
    </row>
    <row r="3">
      <c r="B3" s="2" t="inlineStr">
        <is>
          <t>Nama Pengujian: Skenario 1 - Baseline LLM</t>
        </is>
      </c>
    </row>
    <row r="4">
      <c r="B4" s="2" t="inlineStr">
        <is>
          <t>Terakhir Diperbarui: 2026-07-02 12:12:32</t>
        </is>
      </c>
    </row>
    <row r="5"/>
    <row r="6">
      <c r="B6" s="3" t="inlineStr">
        <is>
          <t>Ringkasan Statistik Utama</t>
        </is>
      </c>
    </row>
    <row r="7">
      <c r="B7" s="4" t="inlineStr">
        <is>
          <t>Metrik Pengujian</t>
        </is>
      </c>
      <c r="C7" s="4" t="inlineStr">
        <is>
          <t>Rata-rata / Total Nilai</t>
        </is>
      </c>
    </row>
    <row r="8">
      <c r="B8" s="5" t="inlineStr">
        <is>
          <t>Total Kasus Uji</t>
        </is>
      </c>
      <c r="C8" s="6" t="n">
        <v>100</v>
      </c>
    </row>
    <row r="9">
      <c r="B9" s="5" t="inlineStr">
        <is>
          <t>Total Passed (&gt;= 0.85)</t>
        </is>
      </c>
      <c r="C9" s="7">
        <f>COUNTIF('Detail Perbandingan'!O9:O108, "PASSED")</f>
        <v/>
      </c>
    </row>
    <row r="10">
      <c r="B10" s="5" t="inlineStr">
        <is>
          <t>Total Failed (&lt; 0.85)</t>
        </is>
      </c>
      <c r="C10" s="8">
        <f>COUNTIF('Detail Perbandingan'!O9:O108, "FAILED")</f>
        <v/>
      </c>
    </row>
    <row r="11">
      <c r="B11" s="5" t="inlineStr">
        <is>
          <t>Rata-rata Accuracy (%)</t>
        </is>
      </c>
      <c r="C11" s="9">
        <f>AVERAGE('Detail Perbandingan'!G9:G108)</f>
        <v/>
      </c>
    </row>
    <row r="12">
      <c r="B12" s="5" t="inlineStr">
        <is>
          <t>Rata-rata Response Time (s)</t>
        </is>
      </c>
      <c r="C12" s="10">
        <f>AVERAGE('Detail Perbandingan'!H9:H108)</f>
        <v/>
      </c>
    </row>
    <row r="13">
      <c r="B13" s="5" t="inlineStr">
        <is>
          <t>Rata-rata G-Eval (1-5)</t>
        </is>
      </c>
      <c r="C13" s="10">
        <f>AVERAGE('Detail Perbandingan'!I9:I108)</f>
        <v/>
      </c>
    </row>
    <row r="14">
      <c r="B14" s="5" t="inlineStr">
        <is>
          <t>Rata-rata AR Score</t>
        </is>
      </c>
      <c r="C14" s="10">
        <f>AVERAGE('Detail Perbandingan'!J9:J108)</f>
        <v/>
      </c>
    </row>
    <row r="15">
      <c r="B15" s="5" t="inlineStr">
        <is>
          <t>Rata-rata Fact-Checking (%)</t>
        </is>
      </c>
      <c r="C15" s="9">
        <f>AVERAGE('Detail Perbandingan'!K9:K108)</f>
        <v/>
      </c>
    </row>
    <row r="16">
      <c r="B16" s="5" t="inlineStr">
        <is>
          <t>Rata-rata MAE</t>
        </is>
      </c>
      <c r="C16" s="10">
        <f>AVERAGE('Detail Perbandingan'!L9:L108)</f>
        <v/>
      </c>
    </row>
    <row r="17">
      <c r="B17" s="5" t="inlineStr">
        <is>
          <t>Rata-rata RMSE</t>
        </is>
      </c>
      <c r="C17" s="10">
        <f>AVERAGE('Detail Perbandingan'!M9:M108)</f>
        <v/>
      </c>
    </row>
    <row r="18">
      <c r="B18" s="5" t="inlineStr">
        <is>
          <t>Rata-rata MAPE (%)</t>
        </is>
      </c>
      <c r="C18" s="9">
        <f>AVERAGE('Detail Perbandingan'!N9:N108)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showGridLines="1" workbookViewId="0">
      <pane ySplit="8" topLeftCell="A9" activePane="bottomLeft" state="frozen"/>
      <selection pane="bottomLeft" activeCell="A1" sqref="A1"/>
    </sheetView>
  </sheetViews>
  <sheetFormatPr baseColWidth="8" defaultRowHeight="15"/>
  <cols>
    <col width="10" customWidth="1" min="1" max="1"/>
    <col width="14" customWidth="1" min="2" max="2"/>
    <col width="28" customWidth="1" min="3" max="3"/>
    <col width="35" customWidth="1" min="4" max="4"/>
    <col width="40" customWidth="1" min="5" max="5"/>
    <col width="45" customWidth="1" min="6" max="6"/>
    <col width="25" customWidth="1" min="7" max="7"/>
    <col width="21" customWidth="1" min="8" max="8"/>
    <col width="16" customWidth="1" min="9" max="9"/>
    <col width="12" customWidth="1" min="10" max="10"/>
    <col width="21" customWidth="1" min="11" max="11"/>
    <col width="12" customWidth="1" min="12" max="12"/>
    <col width="12" customWidth="1" min="13" max="13"/>
    <col width="12" customWidth="1" min="14" max="14"/>
    <col width="19" customWidth="1" min="15" max="15"/>
    <col width="20" customWidth="1" min="16" max="16"/>
  </cols>
  <sheetData>
    <row r="1"/>
    <row r="2">
      <c r="A2" s="1" t="inlineStr">
        <is>
          <t>DATA DETAIL HASIL EVALUASI PER NOMOR SOAL</t>
        </is>
      </c>
    </row>
    <row r="3"/>
    <row r="4"/>
    <row r="5"/>
    <row r="6"/>
    <row r="7"/>
    <row r="8">
      <c r="A8" s="11" t="inlineStr">
        <is>
          <t>No Soal</t>
        </is>
      </c>
      <c r="B8" s="11" t="inlineStr">
        <is>
          <t>Tipe Query</t>
        </is>
      </c>
      <c r="C8" s="11" t="inlineStr">
        <is>
          <t>Model LLM</t>
        </is>
      </c>
      <c r="D8" s="11" t="inlineStr">
        <is>
          <t>Query</t>
        </is>
      </c>
      <c r="E8" s="11" t="inlineStr">
        <is>
          <t>Expected Output</t>
        </is>
      </c>
      <c r="F8" s="11" t="inlineStr">
        <is>
          <t>Hasil (Actual Output)</t>
        </is>
      </c>
      <c r="G8" s="11" t="inlineStr">
        <is>
          <t>Pipeline Accuracy (%)</t>
        </is>
      </c>
      <c r="H8" s="11" t="inlineStr">
        <is>
          <t>Response Time (s)</t>
        </is>
      </c>
      <c r="I8" s="11" t="inlineStr">
        <is>
          <t>G-Eval (1-5)</t>
        </is>
      </c>
      <c r="J8" s="11" t="inlineStr">
        <is>
          <t>AR Score</t>
        </is>
      </c>
      <c r="K8" s="11" t="inlineStr">
        <is>
          <t>Fact-Checking (%)</t>
        </is>
      </c>
      <c r="L8" s="11" t="inlineStr">
        <is>
          <t>MAE</t>
        </is>
      </c>
      <c r="M8" s="11" t="inlineStr">
        <is>
          <t>RMSE</t>
        </is>
      </c>
      <c r="N8" s="11" t="inlineStr">
        <is>
          <t>MAPE (%)</t>
        </is>
      </c>
      <c r="O8" s="11" t="inlineStr">
        <is>
          <t>Status Evaluasi</t>
        </is>
      </c>
      <c r="P8" s="11" t="inlineStr">
        <is>
          <t>Skor Aktual (E5)</t>
        </is>
      </c>
    </row>
    <row r="9">
      <c r="A9" s="12" t="n">
        <v>1</v>
      </c>
      <c r="B9" s="13" t="inlineStr">
        <is>
          <t>Faktual</t>
        </is>
      </c>
      <c r="C9" s="13" t="inlineStr">
        <is>
          <t>google/gemma-4-26b-a4b-it:free</t>
        </is>
      </c>
      <c r="D9" s="14" t="inlineStr">
        <is>
          <t>Apa kepanjangan dari SPBE dalam tata kelola pemerintahan Indonesia?</t>
        </is>
      </c>
      <c r="E9" s="14" t="inlineStr">
        <is>
          <t>Sistem Pemerintahan Berbasis Elektronik.</t>
        </is>
      </c>
      <c r="F9" s="14" t="inlineStr">
        <is>
          <t>**Sistem Pemerintahan Berbasis Elektronik**</t>
        </is>
      </c>
      <c r="G9" s="15" t="n">
        <v>100</v>
      </c>
      <c r="H9" s="15" t="n">
        <v>2.95</v>
      </c>
      <c r="I9" s="15" t="n">
        <v>4.74</v>
      </c>
      <c r="J9" s="15" t="n">
        <v>94.8</v>
      </c>
      <c r="K9" s="15" t="n">
        <v>94.8</v>
      </c>
      <c r="L9" s="16" t="n">
        <v>0.052</v>
      </c>
      <c r="M9" s="16" t="n">
        <v>0.052</v>
      </c>
      <c r="N9" s="15" t="n">
        <v>5.2</v>
      </c>
      <c r="O9" s="17" t="inlineStr">
        <is>
          <t>PASSED</t>
        </is>
      </c>
      <c r="P9" s="16" t="n">
        <v>0.948</v>
      </c>
    </row>
    <row r="10">
      <c r="A10" s="12" t="n">
        <v>2</v>
      </c>
      <c r="B10" s="13" t="inlineStr">
        <is>
          <t>Faktual</t>
        </is>
      </c>
      <c r="C10" s="13" t="inlineStr">
        <is>
          <t>google/gemma-4-26b-a4b-it:free</t>
        </is>
      </c>
      <c r="D10" s="14" t="inlineStr">
        <is>
          <t>Secara umum, apa yang dimaksud dengan transformasi digital pemerintah?</t>
        </is>
      </c>
      <c r="E10" s="14" t="inlineStr">
        <is>
          <t>Pemanfaatan data dan teknologi digital untuk meningkatkan kualitas layanan dan tata kelola pemerintahan.</t>
        </is>
      </c>
      <c r="F10" s="14" t="inlineStr">
        <is>
          <t>Transformasi digital pemerintah adalah proses perubahan fundamental dalam tata kelola dan pelayanan publik melalui pemanfaatan teknologi informasi dan komunikasi secara terintegrasi.
**Inti dari transformasi ini meliputi:**
1. **Digitalisasi Proses:** Mengubah proses bisnis manual menjadi digital.
2. **Integrasi Data:** Menghilangkan silo data melalui keterhubungan antar instansi (Interoperabilitas).
3. **Penyederhanaan Layanan:** Mengalihkan layanan yang terfragmentasi menjadi layanan digital yang terpadu dan berpusat pada pengguna (User-centric).
4. **Perubahan Budaya:** Pergeseran cara kerja aparatur dari berbasis dokumen fisik ke berbasis data dan digital.
**Landasan Utama:** Peraturan Presiden Nomor 95 Tahun 2018 tentang Sistem Pemerintahan Berbasis Elektronik (SPBE).</t>
        </is>
      </c>
      <c r="G10" s="15" t="n">
        <v>100</v>
      </c>
      <c r="H10" s="15" t="n">
        <v>2.51</v>
      </c>
      <c r="I10" s="15" t="n">
        <v>4.31</v>
      </c>
      <c r="J10" s="15" t="n">
        <v>86.15000000000001</v>
      </c>
      <c r="K10" s="15" t="n">
        <v>86.15000000000001</v>
      </c>
      <c r="L10" s="16" t="n">
        <v>0.1385</v>
      </c>
      <c r="M10" s="16" t="n">
        <v>0.1385</v>
      </c>
      <c r="N10" s="15" t="n">
        <v>13.85</v>
      </c>
      <c r="O10" s="17" t="inlineStr">
        <is>
          <t>PASSED</t>
        </is>
      </c>
      <c r="P10" s="16" t="n">
        <v>0.8615</v>
      </c>
    </row>
    <row r="11">
      <c r="A11" s="12" t="n">
        <v>3</v>
      </c>
      <c r="B11" s="13" t="inlineStr">
        <is>
          <t>Faktual</t>
        </is>
      </c>
      <c r="C11" s="13" t="inlineStr">
        <is>
          <t>google/gemma-4-26b-a4b-it:free</t>
        </is>
      </c>
      <c r="D11" s="14" t="inlineStr">
        <is>
          <t>Apa tujuan utama dari kebijakan Satu Data Indonesia (SDI)?</t>
        </is>
      </c>
      <c r="E11" s="14" t="inlineStr">
        <is>
          <t>Mewujudkan data pemerintah yang akurat, mutakhir, terpadu, dan dapat diakses sebagai dasar perencanaan dan pengambilan keputusan.</t>
        </is>
      </c>
      <c r="F11" s="14" t="inlineStr">
        <is>
          <t>Tujuan utama kebijakan **Satu Data Indonesia (SDI)** adalah:
1.  **Mewujudkan Data Pemerintah yang Akurat, Mutakhir, Terpadu, dan Dapat Dipertanggungjawabkan.**
2.  **Mendukung Proses Pengambilan Keputusan** berbasis data yang berkualitas.
3.  **Mewujudkan Tata Kelola Data Nasional** melalui standarisasi data, metadata, interoperabilitas, dan penggunaan kode referensi/data induk.</t>
        </is>
      </c>
      <c r="G11" s="15" t="n">
        <v>100</v>
      </c>
      <c r="H11" s="15" t="n">
        <v>4.14</v>
      </c>
      <c r="I11" s="15" t="n">
        <v>4.45</v>
      </c>
      <c r="J11" s="15" t="n">
        <v>88.90000000000001</v>
      </c>
      <c r="K11" s="15" t="n">
        <v>88.90000000000001</v>
      </c>
      <c r="L11" s="16" t="n">
        <v>0.111</v>
      </c>
      <c r="M11" s="16" t="n">
        <v>0.111</v>
      </c>
      <c r="N11" s="15" t="n">
        <v>11.1</v>
      </c>
      <c r="O11" s="17" t="inlineStr">
        <is>
          <t>PASSED</t>
        </is>
      </c>
      <c r="P11" s="16" t="n">
        <v>0.889</v>
      </c>
    </row>
    <row r="12">
      <c r="A12" s="12" t="n">
        <v>4</v>
      </c>
      <c r="B12" s="13" t="inlineStr">
        <is>
          <t>Ekstraksi</t>
        </is>
      </c>
      <c r="C12" s="13" t="inlineStr">
        <is>
          <t>google/gemma-4-26b-a4b-it:free</t>
        </is>
      </c>
      <c r="D12" s="14" t="inlineStr">
        <is>
          <t>Sebutkan tiga manfaat utama penerapan Pemerintah Digital bagi masyarakat.</t>
        </is>
      </c>
      <c r="E12" s="14" t="inlineStr">
        <is>
          <t>Akses layanan lebih cepat, peningkatan transparansi, dan kemudahan memperoleh layanan publik.</t>
        </is>
      </c>
      <c r="F12" s="14" t="inlineStr">
        <is>
          <t>Tiga manfaat utama penerapan Pemerintah Digital bagi masyarakat adalah:
1. **Kemudahan Akses Layanan:** Masyarakat dapat mengakses layanan publik kapan saja dan di mana saja secara daring tanpa harus hadir secara fisik.
2. **Efisiensi Waktu dan Biaya:** Memangkas birokrasi yang berbelit, sehingga proses layanan menjadi lebih cepat dan mengurangi biaya transportasi/operasional masyarakat.
3. **Transparansi dan Kepastian:** Meningkatkan keterbukaan informasi serta memberikan kepastian waktu dan biaya dalam setiap proses layanan publik.</t>
        </is>
      </c>
      <c r="G12" s="15" t="n">
        <v>100</v>
      </c>
      <c r="H12" s="15" t="n">
        <v>3.37</v>
      </c>
      <c r="I12" s="15" t="n">
        <v>4.52</v>
      </c>
      <c r="J12" s="15" t="n">
        <v>90.34999999999999</v>
      </c>
      <c r="K12" s="15" t="n">
        <v>90.34999999999999</v>
      </c>
      <c r="L12" s="16" t="n">
        <v>0.0965</v>
      </c>
      <c r="M12" s="16" t="n">
        <v>0.0965</v>
      </c>
      <c r="N12" s="15" t="n">
        <v>9.65</v>
      </c>
      <c r="O12" s="17" t="inlineStr">
        <is>
          <t>PASSED</t>
        </is>
      </c>
      <c r="P12" s="16" t="n">
        <v>0.9035</v>
      </c>
    </row>
    <row r="13">
      <c r="A13" s="12" t="n">
        <v>5</v>
      </c>
      <c r="B13" s="13" t="inlineStr">
        <is>
          <t>Ekstraksi</t>
        </is>
      </c>
      <c r="C13" s="13" t="inlineStr">
        <is>
          <t>google/gemma-4-26b-a4b-it:free</t>
        </is>
      </c>
      <c r="D13" s="14" t="inlineStr">
        <is>
          <t>Sebutkan tiga karakteristik utama digital government.</t>
        </is>
      </c>
      <c r="E13" s="14" t="inlineStr">
        <is>
          <t>Keterpaduan layanan, pemanfaatan data, dan orientasi pada kebutuhan pengguna.</t>
        </is>
      </c>
      <c r="F13" s="14" t="inlineStr">
        <is>
          <t>Tiga karakteristik utama *digital government* adalah:
1.  **Berorientasi pada Pengguna (*User-Centric*):** Layanan dirancang berdasarkan kebutuhan dan kemudahan akses masyarakat, bukan berdasarkan struktur organisasi pemerintah.
2.  **Terintegrasi (*Interoperability*):** Adanya konektivitas dan pertukaran data antar instansi pemerintah untuk menghindari silo data (data yang terfragmentasi).
3.t**Berbasis Data (*Data-Driven*):** Pengambilan kebijakan dan pelayanan publik didasarkan pada analisis data yang akurat dan real-time untuk meningkatkan efisiensi.</t>
        </is>
      </c>
      <c r="G13" s="15" t="n">
        <v>100</v>
      </c>
      <c r="H13" s="15" t="n">
        <v>4.06</v>
      </c>
      <c r="I13" s="15" t="n">
        <v>4.32</v>
      </c>
      <c r="J13" s="15" t="n">
        <v>86.39</v>
      </c>
      <c r="K13" s="15" t="n">
        <v>86.39</v>
      </c>
      <c r="L13" s="16" t="n">
        <v>0.1361</v>
      </c>
      <c r="M13" s="16" t="n">
        <v>0.1361</v>
      </c>
      <c r="N13" s="15" t="n">
        <v>13.61</v>
      </c>
      <c r="O13" s="17" t="inlineStr">
        <is>
          <t>PASSED</t>
        </is>
      </c>
      <c r="P13" s="16" t="n">
        <v>0.8639</v>
      </c>
    </row>
    <row r="14">
      <c r="A14" s="12" t="n">
        <v>6</v>
      </c>
      <c r="B14" s="13" t="inlineStr">
        <is>
          <t>Faktual</t>
        </is>
      </c>
      <c r="C14" s="13" t="inlineStr">
        <is>
          <t>google/gemma-4-26b-a4b-it:free</t>
        </is>
      </c>
      <c r="D14" s="14" t="inlineStr">
        <is>
          <t>Apa manfaat penerapan tata kelola data dalam pemerintahan digital?</t>
        </is>
      </c>
      <c r="E14" s="14" t="inlineStr">
        <is>
          <t>Memastikan data akurat, terintegrasi, aman, dan dapat dimanfaatkan untuk mendukung layanan serta pengambilan keputusan.</t>
        </is>
      </c>
      <c r="F14" s="14" t="inlineStr">
        <is>
          <t>Manfaat penerapan tata kelola data dalam pemerintahan digital adalah:
1.  **Mewujudkan Satu Data Indonesia:** Menjamin ketersediaan data yang akurat, mutakhir, terpadu, dan dapat dipertanggungjawabkan antar instansi pemerintah.
2.  **Pengambilan Keputusan Berbasis Data (*Data-Driven Policy*):** Menyediakan basis data yang valid untuk perumusan kebijakan publik yang lebih tepat sasaran.
3.  **Efisiingiasi Birokrasi:** Menghilangkan duplikasi data dan integrasi sistem melalui standarisasi data, sehingga proses administrasi lebih cepat dan hemat biaya.
4.  **Peningkatan Kualitas Layanan Publik:** Memungkinkan integrasi layanan digital yang memudahkan masyarakat karena tidak perlu memasukkan data yang sama berulang kali (prinsia *once-only*).
5.  **Keamanan dan Kepercayaan:** Menjamin perlindungan privasi data serta integritas informasi dari risiko kebocoran dan manipulasi.
**Dasar Regulasi:** Perpres No. 39 Tahun 2019 tentang Satu Data Indonesia dan Perpres No. 95 Tahun 2018 tentang SPBE.</t>
        </is>
      </c>
      <c r="G14" s="15" t="n">
        <v>84.86</v>
      </c>
      <c r="H14" s="15" t="n">
        <v>4.28</v>
      </c>
      <c r="I14" s="15" t="n">
        <v>4.24</v>
      </c>
      <c r="J14" s="15" t="n">
        <v>84.86</v>
      </c>
      <c r="K14" s="15" t="n">
        <v>84.86</v>
      </c>
      <c r="L14" s="16" t="n">
        <v>0.1514</v>
      </c>
      <c r="M14" s="16" t="n">
        <v>0.1514</v>
      </c>
      <c r="N14" s="15" t="n">
        <v>15.14</v>
      </c>
      <c r="O14" s="18" t="inlineStr">
        <is>
          <t>FAILED</t>
        </is>
      </c>
      <c r="P14" s="16" t="n">
        <v>0.8486</v>
      </c>
    </row>
    <row r="15">
      <c r="A15" s="12" t="n">
        <v>7</v>
      </c>
      <c r="B15" s="13" t="inlineStr">
        <is>
          <t>Ekstraksi</t>
        </is>
      </c>
      <c r="C15" s="13" t="inlineStr">
        <is>
          <t>google/gemma-4-26b-a4b-it:free</t>
        </is>
      </c>
      <c r="D15" s="14" t="inlineStr">
        <is>
          <t>Sebutkan tiga tujuan utama keamanan siber dalam layanan pemerintah digital.</t>
        </is>
      </c>
      <c r="E15" s="14" t="inlineStr">
        <is>
          <t>Melindungi kerahasiaan data, menjaga integritas informasi, dan memastikan ketersediaan layanan.</t>
        </is>
      </c>
      <c r="F15" s="14" t="inlineStr">
        <is>
          <t>Tiga tujuan utama keamanan siber dalam layanan pemerintah digital adalah:
1. **Kerahasiaan (*Confidentiality*):** Menjamin data pemerintah dan masyarakat hanya dapat diakses oleh pihak yang memiliki hak akses resmi.
2. **Integritas (*Integrity*):** Menjamin keakuratan, keutuhan, dan mencegah perubahan data atau informasi secara tidak sah.
3. **Ketersediaan (*Availability*):** Menjamin layanan digital dan data dapat diakses kapan saja saat dibutuhkan oleh pengguna/masyarakat.</t>
        </is>
      </c>
      <c r="G15" s="15" t="n">
        <v>100</v>
      </c>
      <c r="H15" s="15" t="n">
        <v>3.56</v>
      </c>
      <c r="I15" s="15" t="n">
        <v>4.47</v>
      </c>
      <c r="J15" s="15" t="n">
        <v>89.38</v>
      </c>
      <c r="K15" s="15" t="n">
        <v>89.38</v>
      </c>
      <c r="L15" s="16" t="n">
        <v>0.1062</v>
      </c>
      <c r="M15" s="16" t="n">
        <v>0.1062</v>
      </c>
      <c r="N15" s="15" t="n">
        <v>10.62</v>
      </c>
      <c r="O15" s="17" t="inlineStr">
        <is>
          <t>PASSED</t>
        </is>
      </c>
      <c r="P15" s="16" t="n">
        <v>0.8938</v>
      </c>
    </row>
    <row r="16">
      <c r="A16" s="12" t="n">
        <v>8</v>
      </c>
      <c r="B16" s="13" t="inlineStr">
        <is>
          <t>Faktual</t>
        </is>
      </c>
      <c r="C16" s="13" t="inlineStr">
        <is>
          <t>google/gemma-4-26b-a4b-it:free</t>
        </is>
      </c>
      <c r="D16" s="14" t="inlineStr">
        <is>
          <t>Apa fungsi sebuah portal layanan publik nasional bagi masyarakat?</t>
        </is>
      </c>
      <c r="E16" s="14" t="inlineStr">
        <is>
          <t>Mengonsolidasikan berbagai layanan pemerintah dalam satu titik akses agar mudah, cepat, dan terpadu.</t>
        </is>
      </c>
      <c r="F16" s="14" t="inlineStr">
        <is>
          <t>Fungsi utama portal layanan publik nasional bagi masyarakat adalah:
1.  **Single Entry Point (Pintu Masuk Tunggal):** Menjadi satu-satunya gerbang akses untuk semua layanan pemerintah secara terpadu, sehingga masyarakat tidak perlu mengunjungi banyak situs web kementerian/lembaga yang berbeda.
2.- **Penyederhanaan Akses:** Mempermudah masyarakat menemukan, mengakses, dan menggunakan layanan publik digital dalam satu platform yang terintegrasi.
3.- **Standardisasi Layanan:** Menjamin keseragaman kualitas, kemudahan penggunaan (*user experience*), dan keamanan data dalam mengakses berbagai layanan pemerintah.
4- **Transparansi &amp; Akuntabilitas:** Memungkinkan masyarakat memantau status permohonan layanan secara real-time dalam satu sistem yang terintegrasi.</t>
        </is>
      </c>
      <c r="G16" s="15" t="n">
        <v>100</v>
      </c>
      <c r="H16" s="15" t="n">
        <v>3.61</v>
      </c>
      <c r="I16" s="15" t="n">
        <v>4.33</v>
      </c>
      <c r="J16" s="15" t="n">
        <v>86.51000000000001</v>
      </c>
      <c r="K16" s="15" t="n">
        <v>86.51000000000001</v>
      </c>
      <c r="L16" s="16" t="n">
        <v>0.1349</v>
      </c>
      <c r="M16" s="16" t="n">
        <v>0.1349</v>
      </c>
      <c r="N16" s="15" t="n">
        <v>13.49</v>
      </c>
      <c r="O16" s="17" t="inlineStr">
        <is>
          <t>PASSED</t>
        </is>
      </c>
      <c r="P16" s="16" t="n">
        <v>0.8651</v>
      </c>
    </row>
    <row r="17">
      <c r="A17" s="12" t="n">
        <v>9</v>
      </c>
      <c r="B17" s="13" t="inlineStr">
        <is>
          <t>Faktual</t>
        </is>
      </c>
      <c r="C17" s="13" t="inlineStr">
        <is>
          <t>google/gemma-4-26b-a4b-it:free</t>
        </is>
      </c>
      <c r="D17" s="14" t="inlineStr">
        <is>
          <t>Jelaskan secara umum apa itu RAG (Retrieval-Augmented Generation) pada sistem AI. (Mengapa integrasi layanan digital penting bagi masyarakat?)</t>
        </is>
      </c>
      <c r="E17" s="14" t="inlineStr">
        <is>
          <t>Mempermudah akses layanan, mengurangi duplikasi proses, dan meningkatkan efisiensi pelayanan.</t>
        </is>
      </c>
      <c r="F17" s="14" t="inlineStr">
        <is>
          <t>**RAG (Retrieval-Augmented Generation)** adalah teknik pada sistem AI yang menggabungkan kemampuan model bahasa besar (*Large Language Model*) dengan sumber data eksternal yang spesifik dan terpercaya. 
Cara kerjanya:
1. **Retrieval:** Saat ada pertanyaan, AI mencari informasi relevan dalam basis data/dokumen yang disediakan.
2. **Augmentation:** Informasi yang ditemukan ditambahkan ke dalam perintah (*prompt*).
3. **Generation:** AI menyusun jawaban berdasarkan data tersebut, sehingga jawaban lebih akurat, aktual, dan meminimalisir halusinasi (informasi palsu).
**Relevansi dalam SPBE:**
RAG memungkinkan AI pemerintah untuk menjawab pertanyaan masyarakat secara akurat menggunakan data regulasi atau SOP terbaru, bukan sekadar berdasarkan pengetahuan umum dari internet.
***
**Mengapa integrasi layanan digital penting bagi masyarakat?**
1. **Efisi-Sinergi:** Menghapus sekat antar-instansi sehingga masyarakat tidak perlu menginput data yang sama berulang kali (*Once-Only Principle*).
2. **Efisiensi Waktu &amp; Biaya:** Memangkas birokrasi dan mempermudah akses layanan dari satu pintu (Portal Nasional/Daerah).
3. **Transparansi &amp; Akuntabilitas:** Memudahkan pelacakan proses layanan secara *real-time*.
4. **Kesetaraan Akses:** Memastikan layanan publik dapat dijangkau secara merata melalui perangkat digital.</t>
        </is>
      </c>
      <c r="G17" s="15" t="n">
        <v>83.97</v>
      </c>
      <c r="H17" s="15" t="n">
        <v>2.68</v>
      </c>
      <c r="I17" s="15" t="n">
        <v>4.2</v>
      </c>
      <c r="J17" s="15" t="n">
        <v>83.97</v>
      </c>
      <c r="K17" s="15" t="n">
        <v>83.97</v>
      </c>
      <c r="L17" s="16" t="n">
        <v>0.1603</v>
      </c>
      <c r="M17" s="16" t="n">
        <v>0.1603</v>
      </c>
      <c r="N17" s="15" t="n">
        <v>16.03</v>
      </c>
      <c r="O17" s="18" t="inlineStr">
        <is>
          <t>FAILED</t>
        </is>
      </c>
      <c r="P17" s="16" t="n">
        <v>0.8397</v>
      </c>
    </row>
    <row r="18">
      <c r="A18" s="12" t="n">
        <v>10</v>
      </c>
      <c r="B18" s="13" t="inlineStr">
        <is>
          <t>Faktual</t>
        </is>
      </c>
      <c r="C18" s="13" t="inlineStr">
        <is>
          <t>google/gemma-4-26b-a4b-it:free</t>
        </is>
      </c>
      <c r="D18" s="14" t="inlineStr">
        <is>
          <t>Apa yang dimaksud dengan pelindungan data pribadi (PDP)?</t>
        </is>
      </c>
      <c r="E18" s="14" t="inlineStr">
        <is>
          <t>Upaya tata kelola dan teknis untuk melindungi data pribadi sepanjang siklus pemrosesannya sesuai regulasi.</t>
        </is>
      </c>
      <c r="F18" s="14" t="inlineStr">
        <is>
          <t>**Pelindungan Data Pribadi (PDP)** adalah segala upaya untuk melindungi data pribadi dari akses, penggunaan, pengubahan, atau pengungkapan yang tidak sah.
Dalam konteks tata kelola pemerintahan di Indonesia, hal ini diatur melalui:
1. **UU No. 27 Tahun 2022 tentang Pelindungan Data Pribadi:** Mengatur hak subjek data, kewajiban pengendali data, dan sanksi pelanggaran.
2. **Prinsip SPBE:** Menjamin keamanan informasi dan kerahasiaan data masyarakat yang dikelola oleh instansi pemerintah agar terhindar dari kebocoran dan penyalahgunaan.</t>
        </is>
      </c>
      <c r="G18" s="15" t="n">
        <v>100</v>
      </c>
      <c r="H18" s="15" t="n">
        <v>4.14</v>
      </c>
      <c r="I18" s="15" t="n">
        <v>4.3</v>
      </c>
      <c r="J18" s="15" t="n">
        <v>86.06</v>
      </c>
      <c r="K18" s="15" t="n">
        <v>86.06</v>
      </c>
      <c r="L18" s="16" t="n">
        <v>0.1394</v>
      </c>
      <c r="M18" s="16" t="n">
        <v>0.1394</v>
      </c>
      <c r="N18" s="15" t="n">
        <v>13.94</v>
      </c>
      <c r="O18" s="17" t="inlineStr">
        <is>
          <t>PASSED</t>
        </is>
      </c>
      <c r="P18" s="16" t="n">
        <v>0.8606</v>
      </c>
    </row>
    <row r="19">
      <c r="A19" s="12" t="n">
        <v>11</v>
      </c>
      <c r="B19" s="13" t="inlineStr">
        <is>
          <t>Evaluatif</t>
        </is>
      </c>
      <c r="C19" s="13" t="inlineStr">
        <is>
          <t>google/gemma-4-26b-a4b-it:free</t>
        </is>
      </c>
      <c r="D19" s="14" t="inlineStr">
        <is>
          <t>Mengapa kepuasan pengguna menjadi tolok ukur penting dalam layanan digital?</t>
        </is>
      </c>
      <c r="E19" s="14" t="inlineStr">
        <is>
          <t>Karena keberhasilan layanan akhirnya diukur dari manfaat dan pengalaman nyata pengguna, bukan sekadar ketersediaan teknologi.</t>
        </is>
      </c>
      <c r="F19" s="14" t="inlineStr">
        <is>
          <t>Kepuasan pengguna menjadi tolok ukur penting dalam layanan digital karena:
1.  **Indikator Keberhasilan Layanan:** Mengukur apakah layanan digital telah menjawab kebutuhan riil masyarakat (user-centric).
2.  **Efektivitas dan Efisiensi:** Menunjukkan apakah sistem mampu mempermudah proses bisnis dan mengurangi hambatan birokrasi.
3.- **Kualitas Layanan Digital:** Menjadi parameter kualitas aspek *usability* (kemudahan penggunaan), *reliability* (keandalan), dan *accessibility* (aksesibilitabilitas).
4.- **Keberlanjutan (Sustainability):** Tingkat adopsi yang tinggi (ditandai dengan kepuasan) menjamin investasi teknologi informasi yang dilakukan pemerintah memberikan nilai manfaat yang nyata.</t>
        </is>
      </c>
      <c r="G19" s="15" t="n">
        <v>100</v>
      </c>
      <c r="H19" s="15" t="n">
        <v>3.46</v>
      </c>
      <c r="I19" s="15" t="n">
        <v>4.32</v>
      </c>
      <c r="J19" s="15" t="n">
        <v>86.47</v>
      </c>
      <c r="K19" s="15" t="n">
        <v>86.47</v>
      </c>
      <c r="L19" s="16" t="n">
        <v>0.1353</v>
      </c>
      <c r="M19" s="16" t="n">
        <v>0.1353</v>
      </c>
      <c r="N19" s="15" t="n">
        <v>13.53</v>
      </c>
      <c r="O19" s="17" t="inlineStr">
        <is>
          <t>PASSED</t>
        </is>
      </c>
      <c r="P19" s="16" t="n">
        <v>0.8647</v>
      </c>
    </row>
    <row r="20">
      <c r="A20" s="12" t="n">
        <v>12</v>
      </c>
      <c r="B20" s="13" t="inlineStr">
        <is>
          <t>Faktual</t>
        </is>
      </c>
      <c r="C20" s="13" t="inlineStr">
        <is>
          <t>google/gemma-4-26b-a4b-it:free</t>
        </is>
      </c>
      <c r="D20" s="14" t="inlineStr">
        <is>
          <t>Apa peran komputasi awan (cloud) dalam infrastruktur pemerintah modern?</t>
        </is>
      </c>
      <c r="E20" s="14" t="inlineStr">
        <is>
          <t>Menyediakan sumber daya komputasi yang elastis, efisien, dan terkonsolidasi untuk layanan digital.</t>
        </is>
      </c>
      <c r="F20" s="14" t="inlineStr">
        <is>
          <t>Dalam infrastruktur pemerintah modern, komputasi awan (*cloud computing*) berperan sebagai **fondasi infrastruktur digital** yang menyediakan layanan berikut:
1.  **Sentralisasi Data:** Mendukung implementasi Pusat Data Nasional (PDN) untuk menghindari silo data antar instansi.
2.- **Efisiensi Anggaran:** Mengubah belanja modal (CAPEX) menjadi belanja operasional (OPEX) melalui model *pay-as-you-go*, mengurangi biaya pemeliharaan perangkat keras fisik.
3.**Skalabilitas &amp; Agilitas:** Memungkinkan penambahan kapasitas penyimpanan dan komputasi secara cepat sesuai kebutuhan layanan publik tanpa kendala fisik.
4. **Interoperabilitas:** Memfasilitasi pertukaran data dan integrasi antar aplikasi pemerintah melalui infrastruktur yang terstandarisasi.
5. **Keamanan &amp; Ketahanan:** Menyediakan standar keamanan siber yang lebih tinggi dan mekanisme pemulihan bencana (*disaster recovery*) yang lebih andal dibandingkan server lokal tradisional.
**Dasar Regulasi:** Perpres No. 95 Tahun 2018 tentang SPBE dan Perpres No. 132 Tahun 2022 tentang Arsitektur SPBE Nasional.</t>
        </is>
      </c>
      <c r="G20" s="15" t="n">
        <v>100</v>
      </c>
      <c r="H20" s="15" t="n">
        <v>5.24</v>
      </c>
      <c r="I20" s="15" t="n">
        <v>4.33</v>
      </c>
      <c r="J20" s="15" t="n">
        <v>86.66</v>
      </c>
      <c r="K20" s="15" t="n">
        <v>86.66</v>
      </c>
      <c r="L20" s="16" t="n">
        <v>0.1334</v>
      </c>
      <c r="M20" s="16" t="n">
        <v>0.1334</v>
      </c>
      <c r="N20" s="15" t="n">
        <v>13.34</v>
      </c>
      <c r="O20" s="17" t="inlineStr">
        <is>
          <t>PASSED</t>
        </is>
      </c>
      <c r="P20" s="16" t="n">
        <v>0.8666</v>
      </c>
    </row>
    <row r="21">
      <c r="A21" s="12" t="n">
        <v>13</v>
      </c>
      <c r="B21" s="13" t="inlineStr">
        <is>
          <t>Ekstraksi</t>
        </is>
      </c>
      <c r="C21" s="13" t="inlineStr">
        <is>
          <t>google/gemma-4-26b-a4b-it:free</t>
        </is>
      </c>
      <c r="D21" s="14" t="inlineStr">
        <is>
          <t>Apa tujuan dilakukannya evaluasi kinerja pemerintah digital?</t>
        </is>
      </c>
      <c r="E21" s="14" t="inlineStr">
        <is>
          <t>Mengukur tingkat kematangan dan efektivitas penerapan pemerintah digital untuk perbaikan berkelanjutan</t>
        </is>
      </c>
      <c r="F21" s="14" t="inlineStr">
        <is>
          <t>Tujuan dilakukannya evaluasi kinerja SPBE adalah:
1. **Mengukur Tingkat Kematangan:** Mengetahui sejauh mana penerapan SPBE di instansi pemerintah.
2. **Menjamin Efektivitas &amp; Efisiensi:** Memastikan integrasi sistem dan penggunaan anggaran digital tepat sasaran.
3. **Identifikasi Masalah:** Menemukan hambatan dalam tata kelola, layanan, infrastruktur, dan SDM digital.
4. **Perbaikan Berkelanjutan:** Memberikan rekomendasi perbaikan untuk meningkatkan kualitas layanan publik digital.
5. **Akuntabilitas:** Menilai tanggung jawab instansi dalam melaksanakan transformasi digital sesuai regulasi.</t>
        </is>
      </c>
      <c r="G21" s="15" t="n">
        <v>100</v>
      </c>
      <c r="H21" s="15" t="n">
        <v>3.49</v>
      </c>
      <c r="I21" s="15" t="n">
        <v>4.6</v>
      </c>
      <c r="J21" s="15" t="n">
        <v>91.95999999999999</v>
      </c>
      <c r="K21" s="15" t="n">
        <v>91.95999999999999</v>
      </c>
      <c r="L21" s="16" t="n">
        <v>0.0804</v>
      </c>
      <c r="M21" s="16" t="n">
        <v>0.0804</v>
      </c>
      <c r="N21" s="15" t="n">
        <v>8.039999999999999</v>
      </c>
      <c r="O21" s="17" t="inlineStr">
        <is>
          <t>PASSED</t>
        </is>
      </c>
      <c r="P21" s="16" t="n">
        <v>0.9196</v>
      </c>
    </row>
    <row r="22">
      <c r="A22" s="12" t="n">
        <v>14</v>
      </c>
      <c r="B22" s="13" t="inlineStr">
        <is>
          <t>Analisis</t>
        </is>
      </c>
      <c r="C22" s="13" t="inlineStr">
        <is>
          <t>google/gemma-4-26b-a4b-it:free</t>
        </is>
      </c>
      <c r="D22" s="14" t="inlineStr">
        <is>
          <t>Bagaimana hubungan antara CSIRT dan penanganan insiden siber dalam menjaga keamanan layanan digital pemerintah?</t>
        </is>
      </c>
      <c r="E22" s="14" t="inlineStr">
        <is>
          <t>CSIRT bertanggung jawab menangani insiden siber, sedangkan penanganan insiden merupakan proses yang dilaksanakan untuk menjaga keamanan layanan digital.</t>
        </is>
      </c>
      <c r="F22" s="14" t="inlineStr">
        <is>
          <t>Hubungan antara CSIRT (*Computer Security Incident Response Team*) dan penanganan insiden siber dalam ekosistem SPBE adalah sebagai berikut:
1.  **Peran CSIRT:** Sebagai unit khusus (tim respons) yang bertanggung jawab mendeteksi, merespons, dan memulihkan layanan digital dari serangan siber.
2.  **Proses Penanganan Insiden:** CSIRT menjalankan alur kerja penanganan insiden yang meliputi: **Persiapan $\rightarrow$ Deteksi $\rightarrow$ Analisis $\rightarrow$ Penahanan (*Containment*) $\rightarrow$ Pemulihan (*Recovery*) $\rightarrow$ Pasca-Insiden (*Lessons Learned*)**.
3.  **Tujuan Keamanan:** Hubungan ini memastikan **Ketahanan Siber (*Cyber Resilience*)**. CSIRT meminimalkan dampak kerusakan, durasi gangguan (*downtime*), dan kebocoran data, sehingga kepercayaan publik terhadap layanan digital pemerintah tetap terjaga.
4.- **Dasar Regulasi:** Implementasi ini mengacu pada strategi keamanan informasi nasional untuk melindungi infrastruktur informasi vital pemerintah.
**Intinya:** CSIRT adalah **eksekutor teknis** yang memastikan setiap insiden siber ditangani secara terstruktur agar layanan digital pemerintah tetap tersedia (*availability*), utuh (*integrity*), dan rahasia (*confidentiality*).</t>
        </is>
      </c>
      <c r="G22" s="15" t="n">
        <v>100</v>
      </c>
      <c r="H22" s="15" t="n">
        <v>3.32</v>
      </c>
      <c r="I22" s="15" t="n">
        <v>4.43</v>
      </c>
      <c r="J22" s="15" t="n">
        <v>88.66</v>
      </c>
      <c r="K22" s="15" t="n">
        <v>88.66</v>
      </c>
      <c r="L22" s="16" t="n">
        <v>0.1134</v>
      </c>
      <c r="M22" s="16" t="n">
        <v>0.1134</v>
      </c>
      <c r="N22" s="15" t="n">
        <v>11.34</v>
      </c>
      <c r="O22" s="17" t="inlineStr">
        <is>
          <t>PASSED</t>
        </is>
      </c>
      <c r="P22" s="16" t="n">
        <v>0.8866000000000001</v>
      </c>
    </row>
    <row r="23">
      <c r="A23" s="12" t="n">
        <v>15</v>
      </c>
      <c r="B23" s="13" t="inlineStr">
        <is>
          <t>Faktual</t>
        </is>
      </c>
      <c r="C23" s="13" t="inlineStr">
        <is>
          <t>google/gemma-4-26b-a4b-it:free</t>
        </is>
      </c>
      <c r="D23" s="14" t="inlineStr">
        <is>
          <t>Apa manfaat kriptografi untuk pengamanan data pemerintah?</t>
        </is>
      </c>
      <c r="E23" s="14" t="inlineStr">
        <is>
          <t>Menjaga kerahasiaan dan integritas data saat disimpan, digunakan, maupun dipertukarkan.</t>
        </is>
      </c>
      <c r="F23" s="14" t="inlineStr">
        <is>
          <t>Berdasarkan kerangka tata kelola keamanan informasi dalam SPBE, manfaat utama kriptografi adalah:
1.  **Kerahasiaan (*Confidentiality*):** Memastikan data hanya dapat dibaca oleh pihak yang memiliki otoritas (kunci enkripsi), sehingga data sensitif pemerintah tidak dapat disalahgunakan saat dikirim atau disimpan.
2.  **Integritas (*Integrity*):** Menjamin bahwa data tidak diubah atau dimanipulasi oleh pihak yang tidak berwenang selama proses transmisi maupun penyimpanan.
3.  **Keaslian (*Authenticity*):** Memverifikasi identitas pengirim data (melalui tanda tangan digital) untuk memastikan data benar-benar berasal dari instansi yang bersangkutan.
4.  **Nir-sangkal (*Non-repudiation*):** Menceksah pihak pengirim menyangkal telah melakukan transaksi atau pengiriman data, yang sangat krusial untuk aspek hukum dokumen elektronik pemerintah.</t>
        </is>
      </c>
      <c r="G23" s="15" t="n">
        <v>100</v>
      </c>
      <c r="H23" s="15" t="n">
        <v>4.76</v>
      </c>
      <c r="I23" s="15" t="n">
        <v>4.27</v>
      </c>
      <c r="J23" s="15" t="n">
        <v>85.45</v>
      </c>
      <c r="K23" s="15" t="n">
        <v>85.45</v>
      </c>
      <c r="L23" s="16" t="n">
        <v>0.1455</v>
      </c>
      <c r="M23" s="16" t="n">
        <v>0.1455</v>
      </c>
      <c r="N23" s="15" t="n">
        <v>14.55</v>
      </c>
      <c r="O23" s="17" t="inlineStr">
        <is>
          <t>PASSED</t>
        </is>
      </c>
      <c r="P23" s="16" t="n">
        <v>0.8545</v>
      </c>
    </row>
    <row r="24">
      <c r="A24" s="12" t="n">
        <v>16</v>
      </c>
      <c r="B24" s="13" t="inlineStr">
        <is>
          <t>Faktual</t>
        </is>
      </c>
      <c r="C24" s="13" t="inlineStr">
        <is>
          <t>google/gemma-4-26b-a4b-it:free</t>
        </is>
      </c>
      <c r="D24" s="14" t="inlineStr">
        <is>
          <t>Jelaskan secara umum konsep arsitektur enterprise pada pemerintahan.</t>
        </is>
      </c>
      <c r="E24" s="14" t="inlineStr">
        <is>
          <t>Kerangka yang menyelaraskan proses bisnis, data, aplikasi, dan teknologi agar terpadu mendukung tujuan organisasi.</t>
        </is>
      </c>
      <c r="F24" s="14" t="inlineStr">
        <is>
          <t>Konsep **Arsitektur Enterprise (AE) Pemerintah** adalah kerangka kerja terintegrasi yang menyelaraskan strategi, proses bisnis, data, aplikasi, dan infrastruktur teknologi informasi dengan tujuan organisasi pemerintah.
Berdasarkan kerangka kerja SPBE, AE mencakup 6 domain utama:
1. **Arsitektur Proses Bisnis:** Alur kerja dan fungsi layanan pemerintah.
2. **Arsitektur Data:** Struktur, pengelolaan, dan keterhubungan data antar instansi.
3.- **Arsitektur Aplikasi:** Sistem perangkat lunak yang mendukung proses bisnis.
4. **Arsitektur Infrastruktur:** Perangkat keras, jaringan, dan pusat data.
5. **Arsitektur Keamanan:** Perlindungan aset informasi dan manajemen risiko siber.
6. **Arsitektur Layanan:** Output layanan digital yang diberikan kepada masyarakat/stakeholder.
**Tujuan Utama:** Menghilangkan silo sistem (fragmentasi), mendorong interoperabilitas (kemampuan berbagi pakai), dan memastikan efisiasi penggunaan anggaran IT melalui integrasi yang terstruktur.</t>
        </is>
      </c>
      <c r="G24" s="15" t="n">
        <v>100</v>
      </c>
      <c r="H24" s="15" t="n">
        <v>3.2</v>
      </c>
      <c r="I24" s="15" t="n">
        <v>4.29</v>
      </c>
      <c r="J24" s="15" t="n">
        <v>85.73</v>
      </c>
      <c r="K24" s="15" t="n">
        <v>85.73</v>
      </c>
      <c r="L24" s="16" t="n">
        <v>0.1427</v>
      </c>
      <c r="M24" s="16" t="n">
        <v>0.1427</v>
      </c>
      <c r="N24" s="15" t="n">
        <v>14.27</v>
      </c>
      <c r="O24" s="17" t="inlineStr">
        <is>
          <t>PASSED</t>
        </is>
      </c>
      <c r="P24" s="16" t="n">
        <v>0.8573</v>
      </c>
    </row>
    <row r="25">
      <c r="A25" s="12" t="n">
        <v>17</v>
      </c>
      <c r="B25" s="13" t="inlineStr">
        <is>
          <t>Faktual</t>
        </is>
      </c>
      <c r="C25" s="13" t="inlineStr">
        <is>
          <t>google/gemma-4-26b-a4b-it:free</t>
        </is>
      </c>
      <c r="D25" s="14" t="inlineStr">
        <is>
          <t>Apa yang dimaksud dengan informasi geospasial?</t>
        </is>
      </c>
      <c r="E25" s="14" t="inlineStr">
        <is>
          <t>Informasi mengenai lokasi, posisi, dan karakteristik objek di permukaan bumi yang bereferensi spasial.</t>
        </is>
      </c>
      <c r="F25" s="14" t="inlineStr">
        <is>
          <t>**Informasi Geospasial (IG)** adalah data, informasi, dan/atau model yang merepresentasikan objek, fenomena, atau karakteristik lokasi di permukaan bumi.
Berdasarkan **UU No. 4 Tahun 2011** tentang Informasi Geospasial, IG mencakup data yang memiliki referensi posisi (koordinat) sehingga dapat dihubungkan dengan lokasi tertentu di permukaan bumi.</t>
        </is>
      </c>
      <c r="G25" s="15" t="n">
        <v>100</v>
      </c>
      <c r="H25" s="15" t="n">
        <v>3.89</v>
      </c>
      <c r="I25" s="15" t="n">
        <v>4.44</v>
      </c>
      <c r="J25" s="15" t="n">
        <v>88.88</v>
      </c>
      <c r="K25" s="15" t="n">
        <v>88.88</v>
      </c>
      <c r="L25" s="16" t="n">
        <v>0.1112</v>
      </c>
      <c r="M25" s="16" t="n">
        <v>0.1112</v>
      </c>
      <c r="N25" s="15" t="n">
        <v>11.12</v>
      </c>
      <c r="O25" s="17" t="inlineStr">
        <is>
          <t>PASSED</t>
        </is>
      </c>
      <c r="P25" s="16" t="n">
        <v>0.8888</v>
      </c>
    </row>
    <row r="26">
      <c r="A26" s="12" t="n">
        <v>18</v>
      </c>
      <c r="B26" s="13" t="inlineStr">
        <is>
          <t>Analisis</t>
        </is>
      </c>
      <c r="C26" s="13" t="inlineStr">
        <is>
          <t>google/gemma-4-26b-a4b-it:free</t>
        </is>
      </c>
      <c r="D26" s="14" t="inlineStr">
        <is>
          <t>Mengapa kolaborasi lintas instansi penting dalam pemerintahan digital?</t>
        </is>
      </c>
      <c r="E26" s="14" t="inlineStr">
        <is>
          <t>Untuk menghindari fragmentasi sistem, berbagi data, dan menghasilkan layanan terpadu bagi masyarakat.</t>
        </is>
      </c>
      <c r="F26" s="14" t="inlineStr">
        <is>
          <t>Kolaborasi lintas instansi dalam SPBE sangat penting karena:
1.  **Menghilangkan Silo Data &amp; Aplikasi:** Mencegah duplikasi pembuatan aplikasi dan database yang sama antar instansi (efisiensi anggaran).
2.  **Interoperabilitas:** Memungkinkan pertukaran data secara lancar antar sistem pemerintah melalui keterhubungan yang terstandar.
3.  **Integrasi Layanan Publik:** Mewujudkan layanan satu pintu (*Single Sign-On*) yang memudahkan masyarakat tanpa harus mengakses banyak platform berbeda.
4.ening **Efisiensi Sumber Daya:** Optimalisasi infrastruktur berbagi pakai (seperti Pusat Data Nasional) untuk menghemat biaya operasional negara.
5.  **Pengambilan Keputusan Berbasis Data:** Menyediakan satu sumber kebenaran (*Single Source of Truth*) melalui integrasi data untuk kebijakan yang lebih akurat.</t>
        </is>
      </c>
      <c r="G26" s="15" t="n">
        <v>84.75</v>
      </c>
      <c r="H26" s="15" t="n">
        <v>2.76</v>
      </c>
      <c r="I26" s="15" t="n">
        <v>4.24</v>
      </c>
      <c r="J26" s="15" t="n">
        <v>84.75</v>
      </c>
      <c r="K26" s="15" t="n">
        <v>84.75</v>
      </c>
      <c r="L26" s="16" t="n">
        <v>0.1525</v>
      </c>
      <c r="M26" s="16" t="n">
        <v>0.1525</v>
      </c>
      <c r="N26" s="15" t="n">
        <v>15.25</v>
      </c>
      <c r="O26" s="18" t="inlineStr">
        <is>
          <t>FAILED</t>
        </is>
      </c>
      <c r="P26" s="16" t="n">
        <v>0.8475</v>
      </c>
    </row>
    <row r="27">
      <c r="A27" s="12" t="n">
        <v>19</v>
      </c>
      <c r="B27" s="13" t="inlineStr">
        <is>
          <t>Evaluatif</t>
        </is>
      </c>
      <c r="C27" s="13" t="inlineStr">
        <is>
          <t>google/gemma-4-26b-a4b-it:free</t>
        </is>
      </c>
      <c r="D27" s="14" t="inlineStr">
        <is>
          <t>Apa indikator umum keberhasilan sebuah reformasi birokrasi?</t>
        </is>
      </c>
      <c r="E27" s="14" t="inlineStr">
        <is>
          <t>Peningkatan kualitas pelayanan publik, akuntabilitas kinerja, efisiensi, dan kepercayaan masyarakat.</t>
        </is>
      </c>
      <c r="F27" s="14" t="inlineStr">
        <is>
          <t>Indikator umum keberhasilan reformasi birokrasi di Indonesia, yang selaras dengan fokus transformasi digital (SPBE), meliputi:
1.  **Efektivitas Organisasi:** Terwujudnya struktur organisasi yang ramping, tepat fungsi, dan tidak tumpang tindih.
2.  **Kualitas Pelayanan Publik:** Meningkatnya indeks kepuasan masyarakat terhadap layanan pemerintah (baik luring maupun daring/e-government).
3.  **Akuntabilitas Kinerja:** Pencapaian target kinerja yang terukur melalui integrasi sistem perencanaan, penganggaran, dan pelaporan.
4.  - **Integritas dan Budaya Kerja:** Menurunnya angka korupsi (Indeks Persepsi Korupsi) dan meningkatnya profesionalisme ASN.
5.  **Digitalisasi Proses (Digital Maturity):** Terintegrasinya proses bisnis melalui sistem informasi yang terpadu (tidak lagi bekerja dalam silo-silo aplikasi).
6.  **Efisiensi Anggaran:** Penghematan belanja negara melalui optimalisasi sumber daya dan penggunaan infrastruktur berbagi pakai.</t>
        </is>
      </c>
      <c r="G27" s="15" t="n">
        <v>100</v>
      </c>
      <c r="H27" s="15" t="n">
        <v>5.28</v>
      </c>
      <c r="I27" s="15" t="n">
        <v>4.27</v>
      </c>
      <c r="J27" s="15" t="n">
        <v>85.38</v>
      </c>
      <c r="K27" s="15" t="n">
        <v>85.38</v>
      </c>
      <c r="L27" s="16" t="n">
        <v>0.1462</v>
      </c>
      <c r="M27" s="16" t="n">
        <v>0.1462</v>
      </c>
      <c r="N27" s="15" t="n">
        <v>14.62</v>
      </c>
      <c r="O27" s="17" t="inlineStr">
        <is>
          <t>PASSED</t>
        </is>
      </c>
      <c r="P27" s="16" t="n">
        <v>0.8538</v>
      </c>
    </row>
    <row r="28">
      <c r="A28" s="12" t="n">
        <v>20</v>
      </c>
      <c r="B28" s="13" t="inlineStr">
        <is>
          <t>Analisis</t>
        </is>
      </c>
      <c r="C28" s="13" t="inlineStr">
        <is>
          <t>google/gemma-4-26b-a4b-it:free</t>
        </is>
      </c>
      <c r="D28" s="14" t="inlineStr">
        <is>
          <t>Apa perbedaan antara penilaian mandiri dan penilaian eksternal dalam evaluasi kinerja?</t>
        </is>
      </c>
      <c r="E28" s="14" t="inlineStr">
        <is>
          <t>Penilaian mandiri dilakukan internal organisasi; penilaian eksternal dilakukan pihak di luar organisasi untuk verifikasi.</t>
        </is>
      </c>
      <c r="F28" s="14" t="inlineStr">
        <is>
          <t>Perbedaan antara penilaian mandiri (*self-assessment*) dan penilaian eksternal dalam evaluasi kinerja SPBE adalah sebagai berikut:
**1. Penilaian Mandiri (*Self-Assessment*)**
*   **Pelaksana:** Dilakukan oleh instansi itu sendiri (Internal).
*   **Tujuan:** Mengukur tingkat kematangan (*maturity level*) secara awal, mengidentifikasi gap, dan sebagai basis data persiapan evaluasi resmi.
*   **Sifat:** Internal, subjektif (berdasarkan data yang diinput instansi), dan bertujuan untuk perbaikan mandiri.
**2. Penilaian Eksternal**
*   K**euna:** Dilakukan oleh pihak luar yang berwenang (biasanya KemenPAN-RB bekerja sama dengan evaluator ahli).
*   **Tujuan:** Memberikan penilaian objektif, memvalidasi hasil penilaian mandiri, dan menetapkan indeks SPBE secara nasional.
*   **Sifat:** Eksternal, objektif, berbasis bukti (*evidence-based*), dan hasilnya bersifat final sebagai standar capaian nasional.</t>
        </is>
      </c>
      <c r="G28" s="15" t="n">
        <v>100</v>
      </c>
      <c r="H28" s="15" t="n">
        <v>3.11</v>
      </c>
      <c r="I28" s="15" t="n">
        <v>4.41</v>
      </c>
      <c r="J28" s="15" t="n">
        <v>88.12</v>
      </c>
      <c r="K28" s="15" t="n">
        <v>88.12</v>
      </c>
      <c r="L28" s="16" t="n">
        <v>0.1188</v>
      </c>
      <c r="M28" s="16" t="n">
        <v>0.1188</v>
      </c>
      <c r="N28" s="15" t="n">
        <v>11.88</v>
      </c>
      <c r="O28" s="17" t="inlineStr">
        <is>
          <t>PASSED</t>
        </is>
      </c>
      <c r="P28" s="16" t="n">
        <v>0.8812</v>
      </c>
    </row>
    <row r="29">
      <c r="A29" s="12" t="n">
        <v>21</v>
      </c>
      <c r="B29" s="13" t="inlineStr">
        <is>
          <t>Analisis</t>
        </is>
      </c>
      <c r="C29" s="13" t="inlineStr">
        <is>
          <t>google/gemma-4-26b-a4b-it:free</t>
        </is>
      </c>
      <c r="D29" s="14" t="inlineStr">
        <is>
          <t>Bagaimana hubungan antara tata kelola data dan interoperabilitas data dalam mendukung penyelenggaraan pemerintah digital?</t>
        </is>
      </c>
      <c r="E29" s="14" t="inlineStr">
        <is>
          <t>Tata kelola data menetapkan standar pengelolaan data, sedangkan interoperabilitas data memungkinkan pertukaran data dan pemanfaatan data lintas sistem.</t>
        </is>
      </c>
      <c r="F29" s="14" t="inlineStr">
        <is>
          <t>Hubungan antara tata kelola data dan interoperabilitas data dalam SPBE adalah hubungan **fondasi dan mekanisme**:
1.  **Tata Kelola Data sebagai Fondasi (Rule-making):** Menetapkan aturan main, standar data, klasifikasi, serta peran/tanggung jawab (pemilik data, pengelola data) agar data memiliki kualitas, keamanan, dan integritas yang terjamin.
2.- **Interoperabilitas Data sebagai Mekanisme (Execution):** Adalah kemampuan sistem untuk saling berkomunikasi dan bertukar data secara teknis (melalui API, sistem berbagi pakai) berdasarkan standar yang telah ditetapkan dalam tata kelola.
**Kesimpulan:**
Tanpa **tata kelola**, interoperabilitas akan menghasilkan pertukaran data yang kacau, tidak valid, dan tidak aman. Tanpa **interoperabilitas**, tata kelola hanya menjadi dokumen tanpa implementasi nyata. Keduanya bersinergi untuk mewujudkan **Satu Data Indonesia** guna mendukung pengambilan kebijakan berbasis data (*data-driven policy*).</t>
        </is>
      </c>
      <c r="G29" s="15" t="n">
        <v>100</v>
      </c>
      <c r="H29" s="15" t="n">
        <v>3.17</v>
      </c>
      <c r="I29" s="15" t="n">
        <v>4.41</v>
      </c>
      <c r="J29" s="15" t="n">
        <v>88.16</v>
      </c>
      <c r="K29" s="15" t="n">
        <v>88.16</v>
      </c>
      <c r="L29" s="16" t="n">
        <v>0.1184</v>
      </c>
      <c r="M29" s="16" t="n">
        <v>0.1184</v>
      </c>
      <c r="N29" s="15" t="n">
        <v>11.84</v>
      </c>
      <c r="O29" s="17" t="inlineStr">
        <is>
          <t>PASSED</t>
        </is>
      </c>
      <c r="P29" s="16" t="n">
        <v>0.8816000000000001</v>
      </c>
    </row>
    <row r="30">
      <c r="A30" s="12" t="n">
        <v>22</v>
      </c>
      <c r="B30" s="13" t="inlineStr">
        <is>
          <t>Ekstraksi</t>
        </is>
      </c>
      <c r="C30" s="13" t="inlineStr">
        <is>
          <t>google/gemma-4-26b-a4b-it:free</t>
        </is>
      </c>
      <c r="D30" s="14" t="inlineStr">
        <is>
          <t>Sebutkan 4 indikator yang termasuk dalam Aspek Data pada Indeks Pemdi.</t>
        </is>
      </c>
      <c r="E30" s="14" t="inlineStr">
        <is>
          <t>Tata Kelola Data, Penyelenggaraan Informasi Geospasial, Pembangunan Statistik, Pelindungan Data Pribadi.</t>
        </is>
      </c>
      <c r="F30" s="14" t="inlineStr">
        <is>
          <t>Berdasarkan pedoman penilaian Indeks SPBE, 4 indikator dalam **Aspek Data** adalah:
1. **Kebijakan Data**
2. **Kualitas Data**
3. **Berbagi Pakai Data**
4. **Keamanan Data**</t>
        </is>
      </c>
      <c r="G30" s="15" t="n">
        <v>100</v>
      </c>
      <c r="H30" s="15" t="n">
        <v>5.49</v>
      </c>
      <c r="I30" s="15" t="n">
        <v>4.37</v>
      </c>
      <c r="J30" s="15" t="n">
        <v>87.3</v>
      </c>
      <c r="K30" s="15" t="n">
        <v>87.3</v>
      </c>
      <c r="L30" s="16" t="n">
        <v>0.127</v>
      </c>
      <c r="M30" s="16" t="n">
        <v>0.127</v>
      </c>
      <c r="N30" s="15" t="n">
        <v>12.7</v>
      </c>
      <c r="O30" s="17" t="inlineStr">
        <is>
          <t>PASSED</t>
        </is>
      </c>
      <c r="P30" s="16" t="n">
        <v>0.873</v>
      </c>
    </row>
    <row r="31">
      <c r="A31" s="12" t="n">
        <v>23</v>
      </c>
      <c r="B31" s="13" t="inlineStr">
        <is>
          <t>Faktual</t>
        </is>
      </c>
      <c r="C31" s="13" t="inlineStr">
        <is>
          <t>google/gemma-4-26b-a4b-it:free</t>
        </is>
      </c>
      <c r="D31" s="14" t="inlineStr">
        <is>
          <t>Bagaimana AI dapat dimanfaatkan untuk meningkatkan kualitas layanan publik?</t>
        </is>
      </c>
      <c r="E31" s="14" t="inlineStr">
        <is>
          <t>Membantu otomatisasi layanan, analisis data, dan penyediaan informasi yang lebih cepat dan akurat.</t>
        </is>
      </c>
      <c r="F31" s="14" t="inlineStr">
        <is>
          <t>Pemanfaatan AI dalam kerangka SPBE untuk meningkatkan layanan publik dapat dilakukan melalui empat aspek utama:
1.  **Otomasi Layanan (Chatbot &amp; Virtual Assistant):** Memberikan respon cepat 24/7 terhadap pertanyaan publik terkait prosedur, persyaratan, dan status layanan tanpa intervensi manusia secara langsung.
2.- **Personalisasi Layanan:** Menggunakan *machine learning* untuk menganalisis data penduduk guna memberikan rekomendasi layanan yang relevan (proaktif) sesuai profil kebutuhan pengguna.
3. **Analisis Data Besar (Big Data Analytics):** Mengolah data interaksi publik untuk mendeteksi tren kebutuhan masyarakat, memprediksi masalah layanan, dan mendukung pengambilan kebijakan berbasis data (*data-driven policy*).
4. **Efisi-Sisi Administrasi Pemerintahan:** Mengotomatisasi tugas rutin (seperti klasifikasi dokumen atau verifikasi data otomatis) guna mempercepat proses administrasi dan mengurangi risiko *human error*.
**Catatan Regulasi:** Implementasi AI dalam SPBE wajib memperhatikan **Keamanan Informasi** dan **Perlindungan Data Pribadi** sesuai dengan standar keamanan siber yang berlaku di Indonesia.</t>
        </is>
      </c>
      <c r="G31" s="15" t="n">
        <v>100</v>
      </c>
      <c r="H31" s="15" t="n">
        <v>4.19</v>
      </c>
      <c r="I31" s="15" t="n">
        <v>4.26</v>
      </c>
      <c r="J31" s="15" t="n">
        <v>85.28</v>
      </c>
      <c r="K31" s="15" t="n">
        <v>85.28</v>
      </c>
      <c r="L31" s="16" t="n">
        <v>0.1472</v>
      </c>
      <c r="M31" s="16" t="n">
        <v>0.1472</v>
      </c>
      <c r="N31" s="15" t="n">
        <v>14.72</v>
      </c>
      <c r="O31" s="17" t="inlineStr">
        <is>
          <t>PASSED</t>
        </is>
      </c>
      <c r="P31" s="16" t="n">
        <v>0.8528</v>
      </c>
    </row>
    <row r="32">
      <c r="A32" s="12" t="n">
        <v>24</v>
      </c>
      <c r="B32" s="13" t="inlineStr">
        <is>
          <t>Analisis</t>
        </is>
      </c>
      <c r="C32" s="13" t="inlineStr">
        <is>
          <t>google/gemma-4-26b-a4b-it:free</t>
        </is>
      </c>
      <c r="D32" s="14" t="inlineStr">
        <is>
          <t>Mengapa data berkualitas penting dalam proses perumusan kebijakan?</t>
        </is>
      </c>
      <c r="E32" s="14" t="inlineStr">
        <is>
          <t>Karena kebijakan yang baik harus didasarkan pada data yang akurat, lengkap, dan terpercaya</t>
        </is>
      </c>
      <c r="F32" s="14" t="inlineStr">
        <is>
          <t>Data berkualitas penting dalam perumusan kebijakan karena:
1.  **Akurasi Pengambilan Keputusan:** Menghindari kesalahan estimasi dan prediksi yang dapat menyebabkan kebijakan tidak tepat sasaran.
2.  **Efisi-siensi Sumber Daya:** Mencegah pemborosan anggaran akibat alokasi program yang tidak sesuai dengan kebutuhan riil di lapangan.
3.  **Berbasis Bukti (*Evidence-Based Policy*):** Menjamin kebijakan didasarkan pada fakta empiris, bukan intuisi atau asumsi, sesuai dengan prinsip tata kelola pemerintahan yang baik.
4.  _**Mitigasi Risiko:**_ Mengurangi potensi kegagalan program atau dampak negatif yang muncul akibat data yang bias atau tidak mutakhir.
5.  **Akuntabilitas:** Menyediakan basis audit yang kuat dalam mempertanggungjawabkan alasan di balik penetapan suatu regulasi atau program kepada publik.</t>
        </is>
      </c>
      <c r="G32" s="15" t="n">
        <v>100</v>
      </c>
      <c r="H32" s="15" t="n">
        <v>5.42</v>
      </c>
      <c r="I32" s="15" t="n">
        <v>4.33</v>
      </c>
      <c r="J32" s="15" t="n">
        <v>86.54000000000001</v>
      </c>
      <c r="K32" s="15" t="n">
        <v>86.54000000000001</v>
      </c>
      <c r="L32" s="16" t="n">
        <v>0.1346</v>
      </c>
      <c r="M32" s="16" t="n">
        <v>0.1346</v>
      </c>
      <c r="N32" s="15" t="n">
        <v>13.46</v>
      </c>
      <c r="O32" s="17" t="inlineStr">
        <is>
          <t>PASSED</t>
        </is>
      </c>
      <c r="P32" s="16" t="n">
        <v>0.8653999999999999</v>
      </c>
    </row>
    <row r="33">
      <c r="A33" s="12" t="n">
        <v>25</v>
      </c>
      <c r="B33" s="13" t="inlineStr">
        <is>
          <t>Faktual</t>
        </is>
      </c>
      <c r="C33" s="13" t="inlineStr">
        <is>
          <t>google/gemma-4-26b-a4b-it:free</t>
        </is>
      </c>
      <c r="D33" s="14" t="inlineStr">
        <is>
          <t>Secara umum, apa fungsi metadata dalam tata kelola data?</t>
        </is>
      </c>
      <c r="E33" s="14" t="inlineStr">
        <is>
          <t>Menjelaskan konteks, struktur, dan makna data agar mudah ditemukan, dipahami, dan digunakan ulang.</t>
        </is>
      </c>
      <c r="F33" s="14" t="inlineStr">
        <is>
          <t>Dalam tata kelola data, metadata berfungsi sebagai **data tentang data** yang memiliki peran utama sebagai berikut:
1.  **Konteks dan Makna:** Menjelaskan isi, struktur, dan definisi data agar tidak terjadi ambiguitas saat digunakan.
2.- **Keterlacakan (*Traceability*):** Melacak asal-usul data (*lineage*), sumber, dan riwayat perubahan data.
3.- **Interoperabilitas:** Memungkinkan pertukaran data antar sistem/instansi karena adanya standar deskripsi yang sama.
4.- **Penemuan (*Discoverability*):** Memudahkan pencarian dan temu balik data dalam katalog data.
5.- **Kualitas dan Keamanan:** Memberikan informasi mengenai tingkat akurasi, format, hak akses, dan klasifikasi keamanan data.</t>
        </is>
      </c>
      <c r="G33" s="15" t="n">
        <v>100</v>
      </c>
      <c r="H33" s="15" t="n">
        <v>2.85</v>
      </c>
      <c r="I33" s="15" t="n">
        <v>4.3</v>
      </c>
      <c r="J33" s="15" t="n">
        <v>85.92</v>
      </c>
      <c r="K33" s="15" t="n">
        <v>85.92</v>
      </c>
      <c r="L33" s="16" t="n">
        <v>0.1408</v>
      </c>
      <c r="M33" s="16" t="n">
        <v>0.1408</v>
      </c>
      <c r="N33" s="15" t="n">
        <v>14.08</v>
      </c>
      <c r="O33" s="17" t="inlineStr">
        <is>
          <t>PASSED</t>
        </is>
      </c>
      <c r="P33" s="16" t="n">
        <v>0.8592</v>
      </c>
    </row>
    <row r="34">
      <c r="A34" s="12" t="n">
        <v>26</v>
      </c>
      <c r="B34" s="13" t="inlineStr">
        <is>
          <t>Faktual</t>
        </is>
      </c>
      <c r="C34" s="13" t="inlineStr">
        <is>
          <t>google/gemma-4-26b-a4b-it:free</t>
        </is>
      </c>
      <c r="D34" s="14" t="inlineStr">
        <is>
          <t>Apa yang dimaksud dengan layanan publik berbasis siklus hidup (life event)?</t>
        </is>
      </c>
      <c r="E34" s="14" t="inlineStr">
        <is>
          <t>Layanan yang dirancang mengikuti peristiwa hidup warga (lahir, sekolah, kerja, dsb.) bukan per-instansi.</t>
        </is>
      </c>
      <c r="F34" s="14" t="inlineStr">
        <is>
          <t>Layanan publik berbasis **siklus hidup (*life event*)** adalah pengelompokan layanan pemerintah berdasarkan tahapan peristiwa penting yang dialami oleh warga negara (seperti kelahiran, pernikahan, pendidikan, hingga kematian), bukan berdasarkan struktur organisasi atau instansi penyedia.
**Karakteristik utama:**
1. **Berorientasi pada Pengguna:** Layanan dirancang mengikuti kebutuhan manusia, bukan birokrasi.
2. **Interoperabilitas:** Mengharuskan integrasi data dan sistem antar-instansi agar satu peristiwa dapat memicu rangkaian layanan secara otomatis.
3. **Efisiensi:** Warga tidak perlu mengajukan permohonan berulang kali ke instansi berbeda untuk satu rangkaian peristiwa yang sama.</t>
        </is>
      </c>
      <c r="G34" s="15" t="n">
        <v>100</v>
      </c>
      <c r="H34" s="15" t="n">
        <v>4.69</v>
      </c>
      <c r="I34" s="15" t="n">
        <v>4.4</v>
      </c>
      <c r="J34" s="15" t="n">
        <v>87.94</v>
      </c>
      <c r="K34" s="15" t="n">
        <v>87.94</v>
      </c>
      <c r="L34" s="16" t="n">
        <v>0.1206</v>
      </c>
      <c r="M34" s="16" t="n">
        <v>0.1206</v>
      </c>
      <c r="N34" s="15" t="n">
        <v>12.06</v>
      </c>
      <c r="O34" s="17" t="inlineStr">
        <is>
          <t>PASSED</t>
        </is>
      </c>
      <c r="P34" s="16" t="n">
        <v>0.8794</v>
      </c>
    </row>
    <row r="35">
      <c r="A35" s="12" t="n">
        <v>27</v>
      </c>
      <c r="B35" s="13" t="inlineStr">
        <is>
          <t>Analisis</t>
        </is>
      </c>
      <c r="C35" s="13" t="inlineStr">
        <is>
          <t>google/gemma-4-26b-a4b-it:free</t>
        </is>
      </c>
      <c r="D35" s="14" t="inlineStr">
        <is>
          <t>Mengapa pengukuran berbasis indeks digunakan dalam evaluasi pemerintahan?</t>
        </is>
      </c>
      <c r="E35" s="14" t="inlineStr">
        <is>
          <t>Untuk menstandarkan penilaian, membandingkan antarinstansi, dan memantau kemajuan secara objektif.</t>
        </is>
      </c>
      <c r="F35" s="14" t="inlineStr">
        <is>
          <t>Pengukuran berbasis indeks digunakan dalam evaluasi pemerintahan karena:
1.  **Standardisasi:** Memberikan parameter yang seragam untuk membandingkan kinerja antar instansi (pusat/daerah).
2.  **Objektivitas:** Mengubah data kualitatif yang kompleks menjadi angka kuantitatif yang terukur dan dapat dipertanggungjawabkan.
3.  -**Pemetaan (Mapping):** Memudahkan identifikasi tingkat kematangan (*maturity level*) serta area yang memerlukan perbaikan secara spesifik.
4.  **Monitoring &amp; Evaluasi:** Menjadi alat ukur capaian target nasional secara berkala dan terukur.
5.- **Dasar Kebijakan:** Memberikan landasan berbasis data (*evidence-based policy*) bagi pemerintah untuk menentukan prioritas intervensi dan alokasi sumber daya.</t>
        </is>
      </c>
      <c r="G35" s="15" t="n">
        <v>100</v>
      </c>
      <c r="H35" s="15" t="n">
        <v>4.92</v>
      </c>
      <c r="I35" s="15" t="n">
        <v>4.37</v>
      </c>
      <c r="J35" s="15" t="n">
        <v>87.3</v>
      </c>
      <c r="K35" s="15" t="n">
        <v>87.3</v>
      </c>
      <c r="L35" s="16" t="n">
        <v>0.127</v>
      </c>
      <c r="M35" s="16" t="n">
        <v>0.127</v>
      </c>
      <c r="N35" s="15" t="n">
        <v>12.7</v>
      </c>
      <c r="O35" s="17" t="inlineStr">
        <is>
          <t>PASSED</t>
        </is>
      </c>
      <c r="P35" s="16" t="n">
        <v>0.873</v>
      </c>
    </row>
    <row r="36">
      <c r="A36" s="12" t="n">
        <v>28</v>
      </c>
      <c r="B36" s="13" t="inlineStr">
        <is>
          <t>Evaluatif</t>
        </is>
      </c>
      <c r="C36" s="13" t="inlineStr">
        <is>
          <t>google/gemma-4-26b-a4b-it:free</t>
        </is>
      </c>
      <c r="D36" s="14" t="inlineStr">
        <is>
          <t>Apa manfaat audit keamanan informasi yang dilakukan secara berkala?</t>
        </is>
      </c>
      <c r="E36" s="14" t="inlineStr">
        <is>
          <t>Mengidentifikasi kerentanan, memastikan kepatuhan kontrol, dan mendorong perbaikan berkelanjutan.</t>
        </is>
      </c>
      <c r="F36" s="14" t="inlineStr">
        <is>
          <t>Manfaat audit keamanan informasi secara berkala adalah:
1.  **Identifikasi Kerentanan:** Menemukan celah keamanan pada sistem dan infrastruktur sebelum dieksploitasi oleh pihak tidak berwenang.
2.  **Penilaian Kepatuhan:** Memastikan tata kelola keamanan informasi selaras dengan standar (seperti ISO/IEC 27001) dan regulasi pemerintah (Perpres 95/2018).
3.  **Mitigasi Risiko:** Meminimalkan potensi dampak insiden siber, kebocoran data, dan gangguan layanan publik.
4.  **Evaluasi Kontrol:** Menguji efektivitas kebijakan, prosedur, dan teknologi keamanan yang saat ini diterapkan.
5.  **Peningkatan Berkelanjutan:** Memberikan rekomendasi perbaikan berdasarkan temuan audit untuk memperkuat postur keamanan informasi organisasi.</t>
        </is>
      </c>
      <c r="G36" s="15" t="n">
        <v>100</v>
      </c>
      <c r="H36" s="15" t="n">
        <v>5.24</v>
      </c>
      <c r="I36" s="15" t="n">
        <v>4.3</v>
      </c>
      <c r="J36" s="15" t="n">
        <v>86.06</v>
      </c>
      <c r="K36" s="15" t="n">
        <v>86.06</v>
      </c>
      <c r="L36" s="16" t="n">
        <v>0.1394</v>
      </c>
      <c r="M36" s="16" t="n">
        <v>0.1394</v>
      </c>
      <c r="N36" s="15" t="n">
        <v>13.94</v>
      </c>
      <c r="O36" s="17" t="inlineStr">
        <is>
          <t>PASSED</t>
        </is>
      </c>
      <c r="P36" s="16" t="n">
        <v>0.8606</v>
      </c>
    </row>
    <row r="37">
      <c r="A37" s="12" t="n">
        <v>29</v>
      </c>
      <c r="B37" s="13" t="inlineStr">
        <is>
          <t>Faktual</t>
        </is>
      </c>
      <c r="C37" s="13" t="inlineStr">
        <is>
          <t>google/gemma-4-26b-a4b-it:free</t>
        </is>
      </c>
      <c r="D37" s="14" t="inlineStr">
        <is>
          <t>Jelaskan konsep 'human-based governance' secara umum.</t>
        </is>
      </c>
      <c r="E37" s="14" t="inlineStr">
        <is>
          <t>Tata kelola yang berorientasi pada kebutuhan dan dampak nyata bagi manusia/pengguna layanan.</t>
        </is>
      </c>
      <c r="F37" s="14" t="inlineStr">
        <is>
          <t>**Human-based governance** adalah konsep tata kelola yang menempatkan **manusia (SDM)** sebagai pusat kendali, pengambil keputusan, dan penanggung jawab utama dalam setiap proses organisasi, meskipun telah menggunakan teknologi digital.
Dalam konteks SPBE, konsep ini menekankan bahwa:
1. **Teknologi adalah Alat:** Teknologi informasi (perangkat keras, lunak, jaringan) hanyalah instrumen pendukung.
2. **Manusia sebagai Pengendali:** Kebijakan, strategi, dan keputusan strategis tetap berada di tangan manusia (pejabat/pegawai) untuk menjamin aspek etika, akuntabilitas, dan empati.
3. **Keseimbangan:** Keberhasilan digitalisasi tidak hanya diukur dari kecanggihan sistem, tetapi dari kesiapan budaya kerja, kompetensi SDM, dan tata kelola yang dijalankan oleh manusia.</t>
        </is>
      </c>
      <c r="G37" s="15" t="n">
        <v>83.86</v>
      </c>
      <c r="H37" s="15" t="n">
        <v>4.79</v>
      </c>
      <c r="I37" s="15" t="n">
        <v>4.19</v>
      </c>
      <c r="J37" s="15" t="n">
        <v>83.86</v>
      </c>
      <c r="K37" s="15" t="n">
        <v>83.86</v>
      </c>
      <c r="L37" s="16" t="n">
        <v>0.1614</v>
      </c>
      <c r="M37" s="16" t="n">
        <v>0.1614</v>
      </c>
      <c r="N37" s="15" t="n">
        <v>16.14</v>
      </c>
      <c r="O37" s="18" t="inlineStr">
        <is>
          <t>FAILED</t>
        </is>
      </c>
      <c r="P37" s="16" t="n">
        <v>0.8386</v>
      </c>
    </row>
    <row r="38">
      <c r="A38" s="12" t="n">
        <v>30</v>
      </c>
      <c r="B38" s="13" t="inlineStr">
        <is>
          <t>Analisis</t>
        </is>
      </c>
      <c r="C38" s="13" t="inlineStr">
        <is>
          <t>google/gemma-4-26b-a4b-it:free</t>
        </is>
      </c>
      <c r="D38" s="14" t="inlineStr">
        <is>
          <t>Apa peran kepemimpinan digital (digital leadership) dalam transformasi instansi?</t>
        </is>
      </c>
      <c r="E38" s="14" t="inlineStr">
        <is>
          <t>Mengarahkan visi, budaya, dan keputusan strategis agar transformasi digital berjalan efektif.</t>
        </is>
      </c>
      <c r="F38" s="14" t="inlineStr">
        <is>
          <t>Dalam transformasi instansi melalui SPBE, peran **Kepemimpinan Digital (*Digital Leadership*)** adalah sebagai berikut:
1.  **Penentu Arah Strategis:** Menetapkan visi, misi, dan peta jalan (*roadmap*) transformasi digital yang selaras dengan tujuan organisasi.
2.- **Penggerak Budaya Kerja:** Mengubah budaya kerja konvensional menjadi budaya digital yang adaptif, inovatif, dan berbasis data (*data-driven*).
3.- **Pengambil Keputusan Berbasis Data:** Menjamin pemanfaatan data dan informasi yang akurat untuk pengambilan kebijakan yang cepat dan tepat.
4.- **Enabler Sumber Daya:** Mengalokasikan anggaran, infrastruktur, dan pengembangan kompetensi SDM digital secara terencana.
5.- **Manajemen Perubahan (*Change Management*):** Memitigasi resistensi terhadap teknologi baru dan memastikan keberlanjutan implementasi sistem digital.
**Intinya:** Pemimpin digital bukan sekadar pengguna teknologi, melainkan katalisator yang mengintegrasikan teknologi ke dalam strategi, proses bisnis, dan budaya organisasi untuk mencapai efisiasi pelayanan publik.</t>
        </is>
      </c>
      <c r="G38" s="15" t="n">
        <v>100</v>
      </c>
      <c r="H38" s="15" t="n">
        <v>4.99</v>
      </c>
      <c r="I38" s="15" t="n">
        <v>4.43</v>
      </c>
      <c r="J38" s="15" t="n">
        <v>88.51000000000001</v>
      </c>
      <c r="K38" s="15" t="n">
        <v>88.51000000000001</v>
      </c>
      <c r="L38" s="16" t="n">
        <v>0.1149</v>
      </c>
      <c r="M38" s="16" t="n">
        <v>0.1149</v>
      </c>
      <c r="N38" s="15" t="n">
        <v>11.49</v>
      </c>
      <c r="O38" s="17" t="inlineStr">
        <is>
          <t>PASSED</t>
        </is>
      </c>
      <c r="P38" s="16" t="n">
        <v>0.8851</v>
      </c>
    </row>
    <row r="39">
      <c r="A39" s="12" t="n">
        <v>31</v>
      </c>
      <c r="B39" s="13" t="inlineStr">
        <is>
          <t>Ekstraksi</t>
        </is>
      </c>
      <c r="C39" s="13" t="inlineStr">
        <is>
          <t>google/gemma-4-26b-a4b-it:free</t>
        </is>
      </c>
      <c r="D39" s="14" t="inlineStr">
        <is>
          <t>Sebutkan dua tujuan utama visitasi atau observasi lapangan dalam evaluasi Pemdi.</t>
        </is>
      </c>
      <c r="E39" s="14" t="inlineStr">
        <is>
          <t>Memvalidasi bukti yang disampaikan dan mengonfirmasi kondisi implementasi di lapangan.</t>
        </is>
      </c>
      <c r="F39" s="14" t="inlineStr">
        <is>
          <t>Dua tujuan utama visitasi/observasi lapangan dalam evaluasi SPBE adalah:
1. **Verifikasi dan Validasi Data:** Memastikan kesesuaian antara dokumen bukti dukung yang diunggah dengan kondisi riil di lapangan.
2. **Konfirmasi dan Pendalaman:** Melakukan klarifikasi atas temuan serta menggali informasi lebih mendalam mengenai implementasi tata kelola SPBE yang tidak terwakili dalam dokumen.</t>
        </is>
      </c>
      <c r="G39" s="15" t="n">
        <v>100</v>
      </c>
      <c r="H39" s="15" t="n">
        <v>4.13</v>
      </c>
      <c r="I39" s="15" t="n">
        <v>4.48</v>
      </c>
      <c r="J39" s="15" t="n">
        <v>89.66</v>
      </c>
      <c r="K39" s="15" t="n">
        <v>89.66</v>
      </c>
      <c r="L39" s="16" t="n">
        <v>0.1034</v>
      </c>
      <c r="M39" s="16" t="n">
        <v>0.1034</v>
      </c>
      <c r="N39" s="15" t="n">
        <v>10.34</v>
      </c>
      <c r="O39" s="17" t="inlineStr">
        <is>
          <t>PASSED</t>
        </is>
      </c>
      <c r="P39" s="16" t="n">
        <v>0.8966</v>
      </c>
    </row>
    <row r="40">
      <c r="A40" s="12" t="n">
        <v>32</v>
      </c>
      <c r="B40" s="13" t="inlineStr">
        <is>
          <t>Analisis</t>
        </is>
      </c>
      <c r="C40" s="13" t="inlineStr">
        <is>
          <t>google/gemma-4-26b-a4b-it:free</t>
        </is>
      </c>
      <c r="D40" s="14" t="inlineStr">
        <is>
          <t>Mengapa redundansi data antarinstansi dianggap masalah dalam pemerintahan?</t>
        </is>
      </c>
      <c r="E40" s="14" t="inlineStr">
        <is>
          <t>Menyebabkan inkonsistensi, pemborosan, dan menyulitkan integrasi layanan.</t>
        </is>
      </c>
      <c r="F40" s="14" t="inlineStr">
        <is>
          <t>Redundansi data antarinstansi dianggap masalah karena:
1.  **Ketidakefisiensi Sumber Daya:** Pemborosan kapasitas penyimpanan (*storage*) dan anggaran infrastruktur TI akibat menyimpan data yang sama berulang kali.
2.ks **Inkonsistensi Data:** Risiko perbedaan nilai data antarinstansi yang sama, sehingga menyebabkan ketidakakuratan dalam pengambilan keputusan pemerintah.
3.  **Hambatan Interoperabilitas:** Menyulitkan integrasi sistem dan pertukaran data karena tidak adanya standar tunggal (silo data).
4.**Pemborosan Operasional:** Meningkatkan beban kerja administrasi dalam proses pemutakhiran (*update*) data yang harus dilakukan di banyak tempat.
**Solusi sesuai regulasi (Perpres 92/2020 &amp; Perpres 39/2019):** Implementasi **Satu Data Indonesia** dan penguatan **Arsitektur SPBE** untuk menciptakan integrasi data melalui prinsip *single source of truth*.</t>
        </is>
      </c>
      <c r="G40" s="15" t="n">
        <v>100</v>
      </c>
      <c r="H40" s="15" t="n">
        <v>3.28</v>
      </c>
      <c r="I40" s="15" t="n">
        <v>4.28</v>
      </c>
      <c r="J40" s="15" t="n">
        <v>85.51000000000001</v>
      </c>
      <c r="K40" s="15" t="n">
        <v>85.51000000000001</v>
      </c>
      <c r="L40" s="16" t="n">
        <v>0.1449</v>
      </c>
      <c r="M40" s="16" t="n">
        <v>0.1449</v>
      </c>
      <c r="N40" s="15" t="n">
        <v>14.49</v>
      </c>
      <c r="O40" s="17" t="inlineStr">
        <is>
          <t>PASSED</t>
        </is>
      </c>
      <c r="P40" s="16" t="n">
        <v>0.8551</v>
      </c>
    </row>
    <row r="41">
      <c r="A41" s="12" t="n">
        <v>33</v>
      </c>
      <c r="B41" s="13" t="inlineStr">
        <is>
          <t>Faktual</t>
        </is>
      </c>
      <c r="C41" s="13" t="inlineStr">
        <is>
          <t>google/gemma-4-26b-a4b-it:free</t>
        </is>
      </c>
      <c r="D41" s="14" t="inlineStr">
        <is>
          <t>Apa fungsi forum data dalam koordinasi antar-unit penyelenggara?</t>
        </is>
      </c>
      <c r="E41" s="14" t="inlineStr">
        <is>
          <t>Wadah koordinasi untuk menyepakati standar, berbagi pakai, dan pemanfaatan data.</t>
        </is>
      </c>
      <c r="F41" s="14" t="inlineStr">
        <is>
          <t>Fungsi utama **Forum Data** dalam koordinasi antar-unit penyelenggara adalah:
1.  **Sinkronisasi dan Harmonisasi:** Menyelaraskan standar data, metadata, dan interoperabilitas antar-unit agar data tidak tumpang tindih (*silo data*).
2.ze **Penyelesaian Masalah (Problem Solving):** Menjadi wadah pengambilan keputusan untuk mengatasi kendala teknis maupun kebijakan terkait pertukaran data.
3. dụng **Integrasi Data:** Memastikan data dapat mengalir secara aman dan akurat antar-instansi melalui mekanisme berbagi pakai data.
4. **Pengawasan dan Evaluasi:** Memantau kualitas, akurasi, dan pemanfaatan data antar-unit guna mendukung kebijakan berbasis data (*data-driven policy*).</t>
        </is>
      </c>
      <c r="G41" s="15" t="n">
        <v>100</v>
      </c>
      <c r="H41" s="15" t="n">
        <v>5.08</v>
      </c>
      <c r="I41" s="15" t="n">
        <v>4.35</v>
      </c>
      <c r="J41" s="15" t="n">
        <v>87</v>
      </c>
      <c r="K41" s="15" t="n">
        <v>87</v>
      </c>
      <c r="L41" s="16" t="n">
        <v>0.13</v>
      </c>
      <c r="M41" s="16" t="n">
        <v>0.13</v>
      </c>
      <c r="N41" s="15" t="n">
        <v>13</v>
      </c>
      <c r="O41" s="17" t="inlineStr">
        <is>
          <t>PASSED</t>
        </is>
      </c>
      <c r="P41" s="16" t="n">
        <v>0.87</v>
      </c>
    </row>
    <row r="42">
      <c r="A42" s="12" t="n">
        <v>34</v>
      </c>
      <c r="B42" s="13" t="inlineStr">
        <is>
          <t>Faktual</t>
        </is>
      </c>
      <c r="C42" s="13" t="inlineStr">
        <is>
          <t>google/gemma-4-26b-a4b-it:free</t>
        </is>
      </c>
      <c r="D42" s="14" t="inlineStr">
        <is>
          <t>Secara umum, apa itu manajemen risiko pada layanan digital?</t>
        </is>
      </c>
      <c r="E42" s="14" t="inlineStr">
        <is>
          <t>Proses mengidentifikasi, menilai, dan mengendalikan risiko terhadap keberlangsungan layanan.</t>
        </is>
      </c>
      <c r="F42" s="14" t="inlineStr">
        <is>
          <t>Manajemen risiko pada layanan digital adalah proses terstruktur untuk **mengidentifikasi, menganalisis, mengevaluasi, dan memitigasi** potensi ancaman yang dapat menghambat ketersediaan, integritas, dan kerahasiaan layanan.
Dalam konteks SPBE, manajemen risiko bertujuan untuk:
1. **Menjamin keberlangsungan layanan** (Business Continuity).
2. **Melindungi aset informasi** dari ancaman keamanan siber.
3. **Memastikan kepatuhan** terhadap regulasi (seperti Perpres 95/2018 dan standar ISO 31000/ISO 27001).
4. **Meminimalkan dampak kerugian** (finansial, operasional, maupun reputasi) akibat kegagalan sistem atau serangan digital.</t>
        </is>
      </c>
      <c r="G42" s="15" t="n">
        <v>100</v>
      </c>
      <c r="H42" s="15" t="n">
        <v>5.14</v>
      </c>
      <c r="I42" s="15" t="n">
        <v>4.41</v>
      </c>
      <c r="J42" s="15" t="n">
        <v>88.25</v>
      </c>
      <c r="K42" s="15" t="n">
        <v>88.25</v>
      </c>
      <c r="L42" s="16" t="n">
        <v>0.1175</v>
      </c>
      <c r="M42" s="16" t="n">
        <v>0.1175</v>
      </c>
      <c r="N42" s="15" t="n">
        <v>11.75</v>
      </c>
      <c r="O42" s="17" t="inlineStr">
        <is>
          <t>PASSED</t>
        </is>
      </c>
      <c r="P42" s="16" t="n">
        <v>0.8825</v>
      </c>
    </row>
    <row r="43">
      <c r="A43" s="12" t="n">
        <v>35</v>
      </c>
      <c r="B43" s="13" t="inlineStr">
        <is>
          <t>Faktual</t>
        </is>
      </c>
      <c r="C43" s="13" t="inlineStr">
        <is>
          <t>google/gemma-4-26b-a4b-it:free</t>
        </is>
      </c>
      <c r="D43" s="14" t="inlineStr">
        <is>
          <t>Apa yang dimaksud dengan manajemen perubahan dalam organisasi digital?</t>
        </is>
      </c>
      <c r="E43" s="14" t="inlineStr">
        <is>
          <t>Pendekatan terstruktur mengelola transisi orang, proses, dan teknologi agar perubahan berhasil diadopsi.</t>
        </is>
      </c>
      <c r="F43" s="14" t="inlineStr">
        <is>
          <t>Dalam konteks organisasi digital dan SPBE, **manajemen perubahan** adalah proses terstruktur untuk mengelola aspek manusia (budaya, perilaku, dan kompetensi) guna memastikan transisi dari cara kerja manual/konvensional ke cara kerja digital berjalan efektif.
Fokus utamanya meliputi:
1.  **Perubahan Budaya Kerja:** Peralihan dari budaya kerja silo menjadi kolaboratif berbasis data.
2.- **Adaptasi Kompetensi:** Peningkatan literasi digital dan keterampilan teknis pegawai.
- **Mitigasi Resistensi:** Strategi untuk mengatasi penolakan pegawai terhadap adopsi teknologi baru.
- **Keberlanjutan Digital:** Memastikan teknologi yang diimplementasikan benar-benar digunakan secara optimal untuk mencapai tujuan organisasi.</t>
        </is>
      </c>
      <c r="G43" s="15" t="n">
        <v>100</v>
      </c>
      <c r="H43" s="15" t="n">
        <v>3.86</v>
      </c>
      <c r="I43" s="15" t="n">
        <v>4.32</v>
      </c>
      <c r="J43" s="15" t="n">
        <v>86.42</v>
      </c>
      <c r="K43" s="15" t="n">
        <v>86.42</v>
      </c>
      <c r="L43" s="16" t="n">
        <v>0.1358</v>
      </c>
      <c r="M43" s="16" t="n">
        <v>0.1358</v>
      </c>
      <c r="N43" s="15" t="n">
        <v>13.58</v>
      </c>
      <c r="O43" s="17" t="inlineStr">
        <is>
          <t>PASSED</t>
        </is>
      </c>
      <c r="P43" s="16" t="n">
        <v>0.8642</v>
      </c>
    </row>
    <row r="44">
      <c r="A44" s="12" t="n">
        <v>36</v>
      </c>
      <c r="B44" s="13" t="inlineStr">
        <is>
          <t>Evaluatif</t>
        </is>
      </c>
      <c r="C44" s="13" t="inlineStr">
        <is>
          <t>google/gemma-4-26b-a4b-it:free</t>
        </is>
      </c>
      <c r="D44" s="14" t="inlineStr">
        <is>
          <t>Mengapa keterlibatan kelompok rentan penting dalam desain layanan publik?</t>
        </is>
      </c>
      <c r="E44" s="14" t="inlineStr">
        <is>
          <t>Untuk memastikan inklusivitas dan aksesibilitas layanan bagi disabilitas, lansia, dan kelompok lain.</t>
        </is>
      </c>
      <c r="F44" s="14" t="inlineStr">
        <is>
          <t>Keterlibatan kelompok rentan dalam desain layanan publik sangat penting karena:
1.  **Prinsja Inklusivitas:** Memastikan layanan dapat diakses oleh semua warga negara tanpa diskriminasi, sesuai amanat prinsip SPBE.
2.- **Aksesibilitas Digital:** Mengidentifikasi hambatan teknis (seperti keterbatasan sensorik atau literasi digital) agar fitur aksesibilitas (misal: *screen reader*, teks alternatif) dapat diterapkan sejak tahap desain.
3.- **Efektivitas Layanan:** Menghindari kegagalan layanan akibat desain yang tidak ramah pengguna (*user-unfriendly*), sehingga mengurangi biaya perbaikan di masa depan.
4.- **Keadilan Sosial:** Menjamin pemenuhan hak dasar kelompok rentan (disabilitas, lansia, anak-anak) dalam ekosistem digital pemerintah.</t>
        </is>
      </c>
      <c r="G44" s="15" t="n">
        <v>100</v>
      </c>
      <c r="H44" s="15" t="n">
        <v>3.47</v>
      </c>
      <c r="I44" s="15" t="n">
        <v>4.31</v>
      </c>
      <c r="J44" s="15" t="n">
        <v>86.26000000000001</v>
      </c>
      <c r="K44" s="15" t="n">
        <v>86.26000000000001</v>
      </c>
      <c r="L44" s="16" t="n">
        <v>0.1374</v>
      </c>
      <c r="M44" s="16" t="n">
        <v>0.1374</v>
      </c>
      <c r="N44" s="15" t="n">
        <v>13.74</v>
      </c>
      <c r="O44" s="17" t="inlineStr">
        <is>
          <t>PASSED</t>
        </is>
      </c>
      <c r="P44" s="16" t="n">
        <v>0.8626</v>
      </c>
    </row>
    <row r="45">
      <c r="A45" s="12" t="n">
        <v>37</v>
      </c>
      <c r="B45" s="13" t="inlineStr">
        <is>
          <t>Faktual</t>
        </is>
      </c>
      <c r="C45" s="13" t="inlineStr">
        <is>
          <t>google/gemma-4-26b-a4b-it:free</t>
        </is>
      </c>
      <c r="D45" s="14" t="inlineStr">
        <is>
          <t>Apa peran chatbot atau widget umpan balik dalam layanan digital?</t>
        </is>
      </c>
      <c r="E45" s="14" t="inlineStr">
        <is>
          <t>Menyediakan kanal interaksi dan masukan pengguna secara langsung untuk perbaikan layanan.</t>
        </is>
      </c>
      <c r="F45" s="14" t="inlineStr">
        <is>
          <t>Dalam tata kelola layanan digital (termasuk dalam kerangka SPBE), chatbot dan widget umpan balik memiliki peran strategis sebagai berikut:
1.  **Peningkatan Interaktivitas:** Menyediakan kanal komunikasi real-time antara pengguna dan penyelenggara layanan untuk meningkatkan pengalaman pengguna (*User Experience*).
2.- **Efisiensi Operasional:** Chatbot berfungsi sebagai *First-Level Support* untuk menjawab pertanyaan umum secara otomatis, sehingga mengurangi beban kerja petugas layanan manusia.
3.**Mekanisme Evaluasi (Feedback Loop):** Widget umpan balik berfungsi sebagai instruman pengumpulan data kepuasan pengguna secara langsung untuk memenuhi standar kualitas layanan digital.
4.**Basis Data Perbaikan (Continuous Improvement):** Data dari interaksi chatbot dan umpan balik pengguna digunakan sebagai dasar pengambilan keputusan berbasis data untuk pengembangan fitur dan perbaikan layanan secara berkelanjutan.</t>
        </is>
      </c>
      <c r="G45" s="15" t="n">
        <v>100</v>
      </c>
      <c r="H45" s="15" t="n">
        <v>5.32</v>
      </c>
      <c r="I45" s="15" t="n">
        <v>4.38</v>
      </c>
      <c r="J45" s="15" t="n">
        <v>87.54000000000001</v>
      </c>
      <c r="K45" s="15" t="n">
        <v>87.54000000000001</v>
      </c>
      <c r="L45" s="16" t="n">
        <v>0.1246</v>
      </c>
      <c r="M45" s="16" t="n">
        <v>0.1246</v>
      </c>
      <c r="N45" s="15" t="n">
        <v>12.46</v>
      </c>
      <c r="O45" s="17" t="inlineStr">
        <is>
          <t>PASSED</t>
        </is>
      </c>
      <c r="P45" s="16" t="n">
        <v>0.8754</v>
      </c>
    </row>
    <row r="46">
      <c r="A46" s="12" t="n">
        <v>38</v>
      </c>
      <c r="B46" s="13" t="inlineStr">
        <is>
          <t>Faktual</t>
        </is>
      </c>
      <c r="C46" s="13" t="inlineStr">
        <is>
          <t>google/gemma-4-26b-a4b-it:free</t>
        </is>
      </c>
      <c r="D46" s="14" t="inlineStr">
        <is>
          <t>Jelaskan secara umum apa itu analisis sentimen pengguna.</t>
        </is>
      </c>
      <c r="E46" s="14" t="inlineStr">
        <is>
          <t>Teknik menilai opini/emosi pengguna dari teks untuk mengukur kepuasan terhadap layanan.</t>
        </is>
      </c>
      <c r="F46" s="14" t="inlineStr">
        <is>
          <t>**Analisis sentimen pengguna** adalah teknik pengolahan data teks (menggunakan *Natural Language Processing*) untuk mengidentifikasi, mengekstrak, dan mengukur emosi atau opini pengguna terhadap suatu layanan.
Dalam konteks SPBE, analisis ini digunakan untuk:
1. **Mengukur Kepuasan:** Mengetahui apakah masyarakat merasa puas atau kecewa terhadap aplikasi/layanan publik digital.
2. **Identifikasi Isu:** Menemukan keluhan atau kendala teknis secara cepat melalui media sosial atau kanal pengaduan.
3. **Evaluasi Kebijakan:** Memahami respon publik terhadap implementasi kebijakan digital pemerintah.
4. **Pengambilan Keputusan:** Memberikan basis data berbasis bukti (*evidence-based*) untuk perbaikan layanan digital secara berkelanjutan.</t>
        </is>
      </c>
      <c r="G46" s="15" t="n">
        <v>100</v>
      </c>
      <c r="H46" s="15" t="n">
        <v>5.38</v>
      </c>
      <c r="I46" s="15" t="n">
        <v>4.44</v>
      </c>
      <c r="J46" s="15" t="n">
        <v>88.7</v>
      </c>
      <c r="K46" s="15" t="n">
        <v>88.7</v>
      </c>
      <c r="L46" s="16" t="n">
        <v>0.113</v>
      </c>
      <c r="M46" s="16" t="n">
        <v>0.113</v>
      </c>
      <c r="N46" s="15" t="n">
        <v>11.3</v>
      </c>
      <c r="O46" s="17" t="inlineStr">
        <is>
          <t>PASSED</t>
        </is>
      </c>
      <c r="P46" s="16" t="n">
        <v>0.887</v>
      </c>
    </row>
    <row r="47">
      <c r="A47" s="12" t="n">
        <v>39</v>
      </c>
      <c r="B47" s="13" t="inlineStr">
        <is>
          <t>Faktual</t>
        </is>
      </c>
      <c r="C47" s="13" t="inlineStr">
        <is>
          <t>google/gemma-4-26b-a4b-it:free</t>
        </is>
      </c>
      <c r="D47" s="14" t="inlineStr">
        <is>
          <t>Apa yang dimaksud dengan Infrastruktur Informasi Vital?</t>
        </is>
      </c>
      <c r="E47" s="14" t="inlineStr">
        <is>
          <t>Sistem/aset informasi yang sangat penting sehingga gangguannya berdampak luas dan perlu pelindungan khusus.</t>
        </is>
      </c>
      <c r="F47" s="14" t="inlineStr">
        <is>
          <t>**Infrastruktur Informasi Vital (IIV)** adalah infrastruktur informasi yang keberadaannya sangat penting bagi kepentingan negara, mencakup sektor-sektor strategis yang jika terganggu akan berdampak signifikan terhadap keamanan nasional, ekonomi, layanan publik, dan stabilitas sosial.
Dalam konteks tata kelola di Indonesia, IIV merupakan objek yang wajib mendapatkan perlindungan khusus karena sifatnya yang kritikal terhadap keberlangsungan negara.</t>
        </is>
      </c>
      <c r="G47" s="15" t="n">
        <v>100</v>
      </c>
      <c r="H47" s="15" t="n">
        <v>2.54</v>
      </c>
      <c r="I47" s="15" t="n">
        <v>4.35</v>
      </c>
      <c r="J47" s="15" t="n">
        <v>87.08</v>
      </c>
      <c r="K47" s="15" t="n">
        <v>87.08</v>
      </c>
      <c r="L47" s="16" t="n">
        <v>0.1292</v>
      </c>
      <c r="M47" s="16" t="n">
        <v>0.1292</v>
      </c>
      <c r="N47" s="15" t="n">
        <v>12.92</v>
      </c>
      <c r="O47" s="17" t="inlineStr">
        <is>
          <t>PASSED</t>
        </is>
      </c>
      <c r="P47" s="16" t="n">
        <v>0.8708</v>
      </c>
    </row>
    <row r="48">
      <c r="A48" s="12" t="n">
        <v>40</v>
      </c>
      <c r="B48" s="13" t="inlineStr">
        <is>
          <t>Evaluatif</t>
        </is>
      </c>
      <c r="C48" s="13" t="inlineStr">
        <is>
          <t>google/gemma-4-26b-a4b-it:free</t>
        </is>
      </c>
      <c r="D48" s="14" t="inlineStr">
        <is>
          <t>Apa manfaat dashboard publik untuk transparansi kinerja layanan?</t>
        </is>
      </c>
      <c r="E48" s="14" t="inlineStr">
        <is>
          <t>Memberi akuntabilitas, memudahkan pemantauan publik, dan mendorong perbaikan berbasis data.</t>
        </is>
      </c>
      <c r="F48" s="14" t="inlineStr">
        <is>
          <t>Manfaat dashboard publik untuk transparansi kinerja layanan dalam kerangka SPBE adalah:
1.  **Akuntabilitas Publik:** Menyediakan data real-time mengenai capaian kinerja instansi yang dapat diawasi langsung oleh masyarakat.
2.  **Meningkatkan Kepercayaan (*Trust*):** Membuktikan komitmen pemerintah dalam keterbukaan informasi melalui visualisasi data yang mudah dipahami.
3.  **Partisipasi Masyarakat:** Memberikan dasar bagi publik untuk memberikan umpan balik (feedback) berbasis data terhadap kualitas layanan.
4._**Evaluasi Kebijakan:** Menjadi instruman kontrol sosial untuk memastikan layanan publik berjalan sesuai standar operasional (SLA) yang ditetapkan.</t>
        </is>
      </c>
      <c r="G48" s="15" t="n">
        <v>100</v>
      </c>
      <c r="H48" s="15" t="n">
        <v>3.97</v>
      </c>
      <c r="I48" s="15" t="n">
        <v>4.41</v>
      </c>
      <c r="J48" s="15" t="n">
        <v>88.12</v>
      </c>
      <c r="K48" s="15" t="n">
        <v>88.12</v>
      </c>
      <c r="L48" s="16" t="n">
        <v>0.1188</v>
      </c>
      <c r="M48" s="16" t="n">
        <v>0.1188</v>
      </c>
      <c r="N48" s="15" t="n">
        <v>11.88</v>
      </c>
      <c r="O48" s="17" t="inlineStr">
        <is>
          <t>PASSED</t>
        </is>
      </c>
      <c r="P48" s="16" t="n">
        <v>0.8812</v>
      </c>
    </row>
    <row r="49">
      <c r="A49" s="12" t="n">
        <v>41</v>
      </c>
      <c r="B49" s="13" t="inlineStr">
        <is>
          <t>Faktual</t>
        </is>
      </c>
      <c r="C49" s="13" t="inlineStr">
        <is>
          <t>google/gemma-4-26b-a4b-it:free</t>
        </is>
      </c>
      <c r="D49" s="14" t="inlineStr">
        <is>
          <t>Apa yang dimaksud dengan Penanganan Insiden Siber dalam Pemerintah Digital?</t>
        </is>
      </c>
      <c r="E49" s="14" t="inlineStr">
        <is>
          <t>Penanganan Insiden Siber adalah kemampuan dalam mendeteksi, merespons, dan menangani insiden keamanan siber secara terstruktur untuk menjaga keamanan dan keberlangsungan layanan Pemerintah Digital.</t>
        </is>
      </c>
      <c r="F49" s="14" t="inlineStr">
        <is>
          <t>**Penanganan Insiden Siber** dalam Pemerintah Digital adalah serangkaian tindakan sistematis untuk mendeteksi, merespons, memitigasi, dan memulihkan kondisi setelah terjadinya gangguan atau serangan keamanan pada infrastruktur serta layanan digital pemerintah.
**Poin Utama:**
1.  **Tujuan:** Menjamin ketersediaan, keutuhan, dan kerahasiaan data serta layanan publik digital.
2.tiap **Dasar Regulasi:** Mengacu pada kerangka kerja keamanan informasi (seperti ISO/IEC 27035) dan diatur dalam regulasi terkait Keamanan Siber dan SPBE (misalnya peran **BSSN** sebagai koordinator nasional).
3.  **Tahapan Utama:**
    *   **Identifikasi:** Mendeteksi adanya anomali atau serangan.
    *   **Containment (Penahanan):** Mengisolasi sistem agar serangan tidak meluas.
    *   **Eradication (Pemusnahan):** Menghilangkan akar penyebab serangan (misalnya *malware*).
    *   **Recovery (Pemulihan):** Mengembalikan sistem ke kondisi normal.
    *   **Lessons Learned:** Evaluasi untuk mencegah insiden serupa di masa depan.</t>
        </is>
      </c>
      <c r="G49" s="15" t="n">
        <v>100</v>
      </c>
      <c r="H49" s="15" t="n">
        <v>2.7</v>
      </c>
      <c r="I49" s="15" t="n">
        <v>4.48</v>
      </c>
      <c r="J49" s="15" t="n">
        <v>89.54000000000001</v>
      </c>
      <c r="K49" s="15" t="n">
        <v>89.54000000000001</v>
      </c>
      <c r="L49" s="16" t="n">
        <v>0.1046</v>
      </c>
      <c r="M49" s="16" t="n">
        <v>0.1046</v>
      </c>
      <c r="N49" s="15" t="n">
        <v>10.46</v>
      </c>
      <c r="O49" s="17" t="inlineStr">
        <is>
          <t>PASSED</t>
        </is>
      </c>
      <c r="P49" s="16" t="n">
        <v>0.8954</v>
      </c>
    </row>
    <row r="50">
      <c r="A50" s="12" t="n">
        <v>42</v>
      </c>
      <c r="B50" s="13" t="inlineStr">
        <is>
          <t>Faktual</t>
        </is>
      </c>
      <c r="C50" s="13" t="inlineStr">
        <is>
          <t>google/gemma-4-26b-a4b-it:free</t>
        </is>
      </c>
      <c r="D50" s="14" t="inlineStr">
        <is>
          <t>Apa yang dimaksud dengan Informasi Geospasial dan perannya dalam layanan digital pemerintah?</t>
        </is>
      </c>
      <c r="E50" s="14" t="inlineStr">
        <is>
          <t>Informasi Geospasial adalah data yang memiliki informasi lokasi di permukaan bumi dan digunakan untuk mendukung perencanaan, pengambilan keputusan, dan layanan pemerintah berbasis lokasi.</t>
        </is>
      </c>
      <c r="F50" s="14" t="inlineStr">
        <is>
          <t>**Informasi Geospasial (IG)** adalah data, informasi, dan metadata yang terkait dengan lokasi atau posisi suatu objek di permukaan bumi.
**Peran dalam Layanan Digital Pemerintah:**
1.  **Dasar Pengambilan Keputusan:** Memberikan visualisasi berbasis lokasi untuk perencanaan wilayah, mitigasi bencana, dan penanganan kesehatan.
2.er **Integrasi Data (Kebijakan Satu Peta):** Menyatukan data spasial antar instansi untuk menghindari tumpang tindih lahan dan data.
3.  **Optimalisasi Layanan Publik:** Memungkinkan layanan berbasis lokasi (*Location-Based Services*), seperti pemetaan infrastruktur, distribusi bantuan sosial, dan manajemen aset daerah.
4.er **Efisiensi SPBE:** Menjadi komponen data utama dalam integrasi layanan digital nasional agar lebih presisi dan terukur.</t>
        </is>
      </c>
      <c r="G50" s="15" t="n">
        <v>100</v>
      </c>
      <c r="H50" s="15" t="n">
        <v>5.42</v>
      </c>
      <c r="I50" s="15" t="n">
        <v>4.34</v>
      </c>
      <c r="J50" s="15" t="n">
        <v>86.84</v>
      </c>
      <c r="K50" s="15" t="n">
        <v>86.84</v>
      </c>
      <c r="L50" s="16" t="n">
        <v>0.1316</v>
      </c>
      <c r="M50" s="16" t="n">
        <v>0.1316</v>
      </c>
      <c r="N50" s="15" t="n">
        <v>13.16</v>
      </c>
      <c r="O50" s="17" t="inlineStr">
        <is>
          <t>PASSED</t>
        </is>
      </c>
      <c r="P50" s="16" t="n">
        <v>0.8683999999999999</v>
      </c>
    </row>
    <row r="51">
      <c r="A51" s="12" t="n">
        <v>43</v>
      </c>
      <c r="B51" s="13" t="inlineStr">
        <is>
          <t>Ekstraksi</t>
        </is>
      </c>
      <c r="C51" s="13" t="inlineStr">
        <is>
          <t>google/gemma-4-26b-a4b-it:free</t>
        </is>
      </c>
      <c r="D51" s="14" t="inlineStr">
        <is>
          <t>Sebutkan tiga aktivitas yang termasuk dalam tata kelola digital instansi pemerintah.</t>
        </is>
      </c>
      <c r="E51" s="14" t="inlineStr">
        <is>
          <t>Perencanaan, pelaksanaan, dan pengendalian transformasi digital.</t>
        </is>
      </c>
      <c r="F51" s="14" t="inlineStr">
        <is>
          <t>Tiga aktivitas utama dalam tata kelola SPBE adalah:
1.  **Perencanaan Strategis:** Penyusunan arsitektur SPBE dan peta jalan (*roadmap*) digital instansi.
2.  **Pengorganisasian:** Penetapan struktur organisasi, pembagian peran, serta penetapan penanggung jawab (koordinator/pelaksana) SPBE.
3.  **Pengambilan Keputusan:** Penetapan kebijakan, standar, dan regulasi internal untuk menjamin keberlangsungan layanan digital.</t>
        </is>
      </c>
      <c r="G51" s="15" t="n">
        <v>100</v>
      </c>
      <c r="H51" s="15" t="n">
        <v>2.94</v>
      </c>
      <c r="I51" s="15" t="n">
        <v>4.53</v>
      </c>
      <c r="J51" s="15" t="n">
        <v>90.65000000000001</v>
      </c>
      <c r="K51" s="15" t="n">
        <v>90.65000000000001</v>
      </c>
      <c r="L51" s="16" t="n">
        <v>0.0935</v>
      </c>
      <c r="M51" s="16" t="n">
        <v>0.0935</v>
      </c>
      <c r="N51" s="15" t="n">
        <v>9.35</v>
      </c>
      <c r="O51" s="17" t="inlineStr">
        <is>
          <t>PASSED</t>
        </is>
      </c>
      <c r="P51" s="16" t="n">
        <v>0.9065</v>
      </c>
    </row>
    <row r="52">
      <c r="A52" s="12" t="n">
        <v>44</v>
      </c>
      <c r="B52" s="13" t="inlineStr">
        <is>
          <t>Analisis</t>
        </is>
      </c>
      <c r="C52" s="13" t="inlineStr">
        <is>
          <t>google/gemma-4-26b-a4b-it:free</t>
        </is>
      </c>
      <c r="D52" s="14" t="inlineStr">
        <is>
          <t>Mengapa konsolidasi pusat data nasional dilakukan banyak negara?</t>
        </is>
      </c>
      <c r="E52" s="14" t="inlineStr">
        <is>
          <t>Untuk efisiensi biaya, standardisasi keamanan, dan integrasi layanan lintas instansi.</t>
        </is>
      </c>
      <c r="F52" s="14" t="inlineStr">
        <is>
          <t>Konsolidasi Pusat Data Nasional (PDN) dilakukan oleh banyak negara karena alasan strategis berikut:
1.  **Efisiensi Anggaran:** Mengurangi pemborosan biaya pengadaan, pemeliharaan, dan operasional infrastruktur IT yang terfragmentasi di setiap instansi.
2.  **Efisiensi Sumber Daya:** Optimalisasi penggunaan kapasitas penyimpanan (*storage*), daya listrik, dan ruang fisik melalui skala ekonomi.
3.  **Keamanan Siber Terpusat:** Memudahkan penerapan standar keamanan tinggi, kontrol akses, dan manajemen ancaman secara terpadu dan terpusat.
4.ert **Interoperabilitas Data:** Mempermencanggih pertukaran data antar instansi melalui infrastruktur yang terintegrasi (menghindari *silo* data).
5.  **Standarisasi Tata Kelola:** Mempermudah pengawasan, pengendalian, dan pemenuhan standar teknologi informasi nasional.</t>
        </is>
      </c>
      <c r="G52" s="15" t="n">
        <v>84.8</v>
      </c>
      <c r="H52" s="15" t="n">
        <v>2.94</v>
      </c>
      <c r="I52" s="15" t="n">
        <v>4.24</v>
      </c>
      <c r="J52" s="15" t="n">
        <v>84.8</v>
      </c>
      <c r="K52" s="15" t="n">
        <v>84.8</v>
      </c>
      <c r="L52" s="16" t="n">
        <v>0.152</v>
      </c>
      <c r="M52" s="16" t="n">
        <v>0.152</v>
      </c>
      <c r="N52" s="15" t="n">
        <v>15.2</v>
      </c>
      <c r="O52" s="18" t="inlineStr">
        <is>
          <t>FAILED</t>
        </is>
      </c>
      <c r="P52" s="16" t="n">
        <v>0.848</v>
      </c>
    </row>
    <row r="53">
      <c r="A53" s="12" t="n">
        <v>45</v>
      </c>
      <c r="B53" s="13" t="inlineStr">
        <is>
          <t>Faktual</t>
        </is>
      </c>
      <c r="C53" s="13" t="inlineStr">
        <is>
          <t>google/gemma-4-26b-a4b-it:free</t>
        </is>
      </c>
      <c r="D53" s="14" t="inlineStr">
        <is>
          <t>Apa yang dimaksud dengan co-creation dalam pengembangan kebijakan digital?</t>
        </is>
      </c>
      <c r="E53" s="14" t="inlineStr">
        <is>
          <t>Pelibatan aktif berbagai pemangku kepentingan dalam merancang solusi/layanan bersama.</t>
        </is>
      </c>
      <c r="F53" s="14" t="inlineStr">
        <is>
          <t>**Co-creation** dalam pengembangan kebijakan digital adalah proses kolaborasi aktif antara pemerintah, sektor swasta, akademisi, dan masyarakat sipil untuk merancang, mengembangkan, dan mengevaluasi kebijakan.
**Inti dari Co-creation:**
1.  **Partisipasi Multi-stakeholder:** Melibatkan berbagai pihak, bukan hanya satu instansi pemerintah.
2.  *Shared Value:* Menghasilkan solusi yang lebih relevan, inovatif, dan aplikatif dengan menggabungkan berbagai keahlian.
3.  **Mitigasi Risiko:** Mengurangi resistensi kebijakan karena solusi dibangun bersama pengguna akhir (*end-user*).
Dalam konteks SPBE, *co-creation* memastikan kebijakan digital tidak hanya bersifat *top-down*, tetapi berbasis kebutuhan nyata di lapangan.</t>
        </is>
      </c>
      <c r="G53" s="15" t="n">
        <v>100</v>
      </c>
      <c r="H53" s="15" t="n">
        <v>5.01</v>
      </c>
      <c r="I53" s="15" t="n">
        <v>4.27</v>
      </c>
      <c r="J53" s="15" t="n">
        <v>85.39</v>
      </c>
      <c r="K53" s="15" t="n">
        <v>85.39</v>
      </c>
      <c r="L53" s="16" t="n">
        <v>0.1461</v>
      </c>
      <c r="M53" s="16" t="n">
        <v>0.1461</v>
      </c>
      <c r="N53" s="15" t="n">
        <v>14.61</v>
      </c>
      <c r="O53" s="17" t="inlineStr">
        <is>
          <t>PASSED</t>
        </is>
      </c>
      <c r="P53" s="16" t="n">
        <v>0.8539</v>
      </c>
    </row>
    <row r="54">
      <c r="A54" s="12" t="n">
        <v>46</v>
      </c>
      <c r="B54" s="13" t="inlineStr">
        <is>
          <t>Faktual</t>
        </is>
      </c>
      <c r="C54" s="13" t="inlineStr">
        <is>
          <t>google/gemma-4-26b-a4b-it:free</t>
        </is>
      </c>
      <c r="D54" s="14" t="inlineStr">
        <is>
          <t>Jelaskan konsep 'single sign-on' pada portal layanan pemerintah.</t>
        </is>
      </c>
      <c r="E54" s="14" t="inlineStr">
        <is>
          <t>Mekanisme satu kali autentikasi untuk mengakses banyak layanan terhubung.</t>
        </is>
      </c>
      <c r="F54" s="14" t="inlineStr">
        <is>
          <t>**Single Sign-On (SSO)** dalam portal layanan pemerintah adalah mekanisme autentikasi yang memungkinkan pengguna (masyarakat atau ASN) untuk mengakses berbagai aplikasi dan layanan pemerintah yang berbeda hanya dengan menggunakan **satu set kredensial** (satu *username* dan satu *password*).
**Poin Utama:**
1.  **Efisiensi:** Pengguna tidak perlu menghafal banyak akun untuk layanan yang berbeda.
2.ks **Interoperabilitas:** Menghubungkan berbagai sistem aplikasi yang berbeda di bawah satu manajemen identitas digital.
3.s **Keamanan:** Memudahkan kontrol akses dan pemantauan identitas terpusat.
4. **Implementasi SPBE:** Merupakan bagian dari integrasi layanan digital untuk menciptakan pengalaman pengguna yang mulus (*seamless*) dan mengurangi fragmentasi data/akun di instansi pemerintah.</t>
        </is>
      </c>
      <c r="G54" s="15" t="n">
        <v>100</v>
      </c>
      <c r="H54" s="15" t="n">
        <v>5.28</v>
      </c>
      <c r="I54" s="15" t="n">
        <v>4.38</v>
      </c>
      <c r="J54" s="15" t="n">
        <v>87.5</v>
      </c>
      <c r="K54" s="15" t="n">
        <v>87.5</v>
      </c>
      <c r="L54" s="16" t="n">
        <v>0.125</v>
      </c>
      <c r="M54" s="16" t="n">
        <v>0.125</v>
      </c>
      <c r="N54" s="15" t="n">
        <v>12.5</v>
      </c>
      <c r="O54" s="17" t="inlineStr">
        <is>
          <t>PASSED</t>
        </is>
      </c>
      <c r="P54" s="16" t="n">
        <v>0.875</v>
      </c>
    </row>
    <row r="55">
      <c r="A55" s="12" t="n">
        <v>47</v>
      </c>
      <c r="B55" s="13" t="inlineStr">
        <is>
          <t>Analisis</t>
        </is>
      </c>
      <c r="C55" s="13" t="inlineStr">
        <is>
          <t>google/gemma-4-26b-a4b-it:free</t>
        </is>
      </c>
      <c r="D55" s="14" t="inlineStr">
        <is>
          <t>Mengapa penerapan standar data menjadi kunci keberhasilan Satu Data Indonesia?</t>
        </is>
      </c>
      <c r="E55" s="14" t="inlineStr">
        <is>
          <t>Karena tanpa standar yang seragam, data antar instansi menjadi inkonsisten dan sulit diintegrasikan secara nasional.</t>
        </is>
      </c>
      <c r="F55" s="14" t="inlineStr">
        <is>
          <t>Penerapan standar data menjadi kunci keberhasilan Satu Data Indonesia (SDI) karena alasan berikut:
1.  **Interoperabilitas:** Memungkinkan berbagai sistem aplikasi dan database antar instansi pemerintah untuk saling terhubung dan bertukar data tanpa kendala format.
2.  **Konsistensi &amp; Akurasi:** Menjamin data yang dihasilkan seragam secara struktur, makna (semantik), dan format, sehingga mengurangi kesalahan interpretasi.
3.thought **Integrasi Data:** Memudahkan proses agregasi data dari berbagai sumber untuk menghasilkan data tunggal yang akurat guna pengambilan kebijakan berbasis data (*data-driven policy*).
4.  **Efisiensi:** Menghindari duplikasi data dan pengulangan input yang tidak perlu karena sudah adanya keseragaman standar.
**Landasan Regulasi:** Peraturan Presiden Nomor 39 Tahun 2019 tentang Satu Data Indonesia.</t>
        </is>
      </c>
      <c r="G55" s="15" t="n">
        <v>84.40000000000001</v>
      </c>
      <c r="H55" s="15" t="n">
        <v>17.08</v>
      </c>
      <c r="I55" s="15" t="n">
        <v>4.22</v>
      </c>
      <c r="J55" s="15" t="n">
        <v>84.40000000000001</v>
      </c>
      <c r="K55" s="15" t="n">
        <v>84.40000000000001</v>
      </c>
      <c r="L55" s="16" t="n">
        <v>0.156</v>
      </c>
      <c r="M55" s="16" t="n">
        <v>0.156</v>
      </c>
      <c r="N55" s="15" t="n">
        <v>15.6</v>
      </c>
      <c r="O55" s="18" t="inlineStr">
        <is>
          <t>FAILED</t>
        </is>
      </c>
      <c r="P55" s="16" t="n">
        <v>0.844</v>
      </c>
    </row>
    <row r="56">
      <c r="A56" s="12" t="n">
        <v>48</v>
      </c>
      <c r="B56" s="13" t="inlineStr">
        <is>
          <t>Evaluatif</t>
        </is>
      </c>
      <c r="C56" s="13" t="inlineStr">
        <is>
          <t>google/gemma-4-26b-a4b-it:free</t>
        </is>
      </c>
      <c r="D56" s="14" t="inlineStr">
        <is>
          <t>Mengapa pendekatan berbasis bukti (evidence-based) penting dalam evaluasi kinerja?</t>
        </is>
      </c>
      <c r="E56" s="14" t="inlineStr">
        <is>
          <t>Agar penilaian objektif, dapat diverifikasi, dan rekomendasi perbaikannya tepat sasaran.</t>
        </is>
      </c>
      <c r="F56" s="14" t="inlineStr">
        <is>
          <t>Pendekatan berbasis bukti (*evidence-based*) penting dalam evaluasi kinerja SPBE karena:
1.  **Objektivitas:** Menghindari penilaian subjektif atau asumsi; keputusan diambil berdasarkan data nyata (log sistem, metrik layanan, statistik penggunaan).
2.- **Akurasi Diagnosa:** Memungkinkan identifikasi akar masalah yang tepat pada domain SPBE (contoh: apakah masalah ada pada infrastruktur, aplikasi, atau tata kelola).
3. **Akuntabilitas:** Menyediakan dasar yang kuat dan dapat dipertanggungjawabkan untuk laporan kinerja instansi kepada pemangku kepentingan.
4. **Efisi-sains (Efisiensi Sumber Daya):** Memastikan intervensi perbaikan dilakukan pada area yang benar-benar membutuhkan berdasarkan data, bukan sekadar intuisi.
5. **Dasar Perbaikan Berkelanjutan:** Memberikan landasan empiris untuk perencanaan strategis dan pengalokasian anggaran yang lebih tepat sasaran.</t>
        </is>
      </c>
      <c r="G56" s="15" t="n">
        <v>84.92</v>
      </c>
      <c r="H56" s="15" t="n">
        <v>16.42</v>
      </c>
      <c r="I56" s="15" t="n">
        <v>4.25</v>
      </c>
      <c r="J56" s="15" t="n">
        <v>84.92</v>
      </c>
      <c r="K56" s="15" t="n">
        <v>84.92</v>
      </c>
      <c r="L56" s="16" t="n">
        <v>0.1508</v>
      </c>
      <c r="M56" s="16" t="n">
        <v>0.1508</v>
      </c>
      <c r="N56" s="15" t="n">
        <v>15.08</v>
      </c>
      <c r="O56" s="18" t="inlineStr">
        <is>
          <t>FAILED</t>
        </is>
      </c>
      <c r="P56" s="16" t="n">
        <v>0.8492</v>
      </c>
    </row>
    <row r="57">
      <c r="A57" s="12" t="n">
        <v>49</v>
      </c>
      <c r="B57" s="13" t="inlineStr">
        <is>
          <t>Faktual</t>
        </is>
      </c>
      <c r="C57" s="13" t="inlineStr">
        <is>
          <t>google/gemma-4-26b-a4b-it:free</t>
        </is>
      </c>
      <c r="D57" s="14" t="inlineStr">
        <is>
          <t>Apa yang dimaksud dengan budaya tertib arsip digital?</t>
        </is>
      </c>
      <c r="E57" s="14" t="inlineStr">
        <is>
          <t>Kebiasaan mengelola arsip secara digital dan terstruktur sebagai basis pemanfaatan data.</t>
        </is>
      </c>
      <c r="F57" s="14" t="inlineStr">
        <is>
          <t>**Budaya tertib arsip digital** adalah kesadaran dan kebiasaan berkelanjutan dalam mengelola, menyimpan, dan menggunakan arsip elektronik secara sistematis, autentik, dan terpercaya sesuai dengan kaidah kearsipan dalam ekosistem digital.
Dalam konteks SPBE, hal ini mencakup:
1. **Kepatuhan Regulasi:** Menjalankan tata kelola arsip sesuai UU Kearsipan dan aturan turunannya.
2. **Integritas Data:** Memastikan arsip digital tetap asli, utuh, dan dapat diakses sepanjang waktu.
3. **Keamanan Informasi:** Melindungi arsip dari akses tidak sah, kerusakan, atau kehilangan melalui sistem manajemen arsip dinamis yang terintegrasi.
4. **Efisiensi Operasional:** Mengubah pola kerja manual ke digital guna mendukung pengambilan keputusan berbasis data.</t>
        </is>
      </c>
      <c r="G57" s="15" t="n">
        <v>100</v>
      </c>
      <c r="H57" s="15" t="n">
        <v>37.52</v>
      </c>
      <c r="I57" s="15" t="n">
        <v>4.37</v>
      </c>
      <c r="J57" s="15" t="n">
        <v>87.39</v>
      </c>
      <c r="K57" s="15" t="n">
        <v>87.39</v>
      </c>
      <c r="L57" s="16" t="n">
        <v>0.1261</v>
      </c>
      <c r="M57" s="16" t="n">
        <v>0.1261</v>
      </c>
      <c r="N57" s="15" t="n">
        <v>12.61</v>
      </c>
      <c r="O57" s="17" t="inlineStr">
        <is>
          <t>PASSED</t>
        </is>
      </c>
      <c r="P57" s="16" t="n">
        <v>0.8739</v>
      </c>
    </row>
    <row r="58">
      <c r="A58" s="12" t="n">
        <v>50</v>
      </c>
      <c r="B58" s="13" t="inlineStr">
        <is>
          <t>Ekstraksi</t>
        </is>
      </c>
      <c r="C58" s="13" t="inlineStr">
        <is>
          <t>google/gemma-4-26b-a4b-it:free</t>
        </is>
      </c>
      <c r="D58" s="14" t="inlineStr">
        <is>
          <t>Sebutkan tiga unsur yang perlu diselaraskan dalam tata kelola digital pemerintah.</t>
        </is>
      </c>
      <c r="E58" s="14" t="inlineStr">
        <is>
          <t>Kebijakan, proses bisnis, dan teknologi informasi.</t>
        </is>
      </c>
      <c r="F58" s="14" t="inlineStr">
        <is>
          <t>Tiga unsur yang perlu diselaraskan dalam tata kelola digital pemerintah adalah:
1. **Kebijakan** (Regulasi dan aturan main).
2. **Proses Bisnis** (Alur kerja dan prosedur operasional).
3. **Teknologi Informasi** (Infrastruktur, aplikasi, dan data).</t>
        </is>
      </c>
      <c r="G58" s="15" t="n">
        <v>100</v>
      </c>
      <c r="H58" s="15" t="n">
        <v>8.58</v>
      </c>
      <c r="I58" s="15" t="n">
        <v>4.52</v>
      </c>
      <c r="J58" s="15" t="n">
        <v>90.39</v>
      </c>
      <c r="K58" s="15" t="n">
        <v>90.39</v>
      </c>
      <c r="L58" s="16" t="n">
        <v>0.0961</v>
      </c>
      <c r="M58" s="16" t="n">
        <v>0.0961</v>
      </c>
      <c r="N58" s="15" t="n">
        <v>9.609999999999999</v>
      </c>
      <c r="O58" s="17" t="inlineStr">
        <is>
          <t>PASSED</t>
        </is>
      </c>
      <c r="P58" s="16" t="n">
        <v>0.9039</v>
      </c>
    </row>
    <row r="59">
      <c r="A59" s="12" t="n">
        <v>51</v>
      </c>
      <c r="B59" s="13" t="inlineStr">
        <is>
          <t>Jebakan (out-of-scope/halusinasi)</t>
        </is>
      </c>
      <c r="C59" s="13" t="inlineStr">
        <is>
          <t>google/gemma-4-26b-a4b-it:free</t>
        </is>
      </c>
      <c r="D59" s="14" t="inlineStr">
        <is>
          <t>Berapa tepatnya nilai Indeks Pemdi nasional resmi tahun 2027?</t>
        </is>
      </c>
      <c r="E59" s="14" t="inlineStr">
        <is>
          <t>Model seharusnya menyatakan data belum tersedia/di luar jangkauan dan tidak mengarang angka.</t>
        </is>
      </c>
      <c r="F59" s="14" t="inlineStr">
        <is>
          <t>Tidak ada nilai pasti untuk tahun 2027 karena nilai Indeks SPBE ditentukan melalui evaluasi tahunan oleh Kementerian PANRB. 
Namun, berdasarkan **Target Nasional** yang ditetapkan dalam **Perpres No. 95 Tahun 2018** dan rencana strategis pemerintah, target peningkatan indeks dilakukan secara bertahap setiap tahunnya untuk mencapai kematangan tata kelola digital yang optimal. Nilai resmi hanya akan dirilis oleh Kemenpan-RB setelah proses evaluasi tahun 2027 selesai.</t>
        </is>
      </c>
      <c r="G59" s="15" t="n">
        <v>83.53</v>
      </c>
      <c r="H59" s="15" t="n">
        <v>22.31</v>
      </c>
      <c r="I59" s="15" t="n">
        <v>4.18</v>
      </c>
      <c r="J59" s="15" t="n">
        <v>83.53</v>
      </c>
      <c r="K59" s="15" t="n">
        <v>83.53</v>
      </c>
      <c r="L59" s="16" t="n">
        <v>0.1647</v>
      </c>
      <c r="M59" s="16" t="n">
        <v>0.1647</v>
      </c>
      <c r="N59" s="15" t="n">
        <v>16.47</v>
      </c>
      <c r="O59" s="18" t="inlineStr">
        <is>
          <t>FAILED</t>
        </is>
      </c>
      <c r="P59" s="16" t="n">
        <v>0.8353</v>
      </c>
    </row>
    <row r="60">
      <c r="A60" s="12" t="n">
        <v>52</v>
      </c>
      <c r="B60" s="13" t="inlineStr">
        <is>
          <t>Jebakan (faithfulness/halusinasi)</t>
        </is>
      </c>
      <c r="C60" s="13" t="inlineStr">
        <is>
          <t>google/gemma-4-26b-a4b-it:free</t>
        </is>
      </c>
      <c r="D60" s="14" t="inlineStr">
        <is>
          <t>Sebutkan bobot persis ke-20 indikator Indeks Pemdi tanpa melihat dokumen apa pun.</t>
        </is>
      </c>
      <c r="E60" s="14" t="inlineStr">
        <is>
          <t>Tanpa dokumen, model seharusnya menyatakan tidak dapat memastikan bobot resmi dan menyarankan merujuk dokumen.</t>
        </is>
      </c>
      <c r="F60" s="14" t="inlineStr">
        <is>
          <t>Berikut adalah bobot 20 indikator Indeks Pemda (Indeks SPBE) berdasarkan kerangka evaluasi standar:
**Domain 1: Kebijakan Internal SPBE (Bobot: 10%)**
1. Kebijakan Internal SPBE: 10%
**Domain 2: Tata Kelola SPBE (Bobot: 25%)****
2. Struktur Organisasi SPBE: 5%
3. Manajemen SPBE: 10%
4. Manajemen Risiko SPBE: 5%
5. Manajemen Keamanan Informasi: 5%
**Domain 3: Manajemen Aset TI (Bobot: 15%)**
6. Manajemen Data: 5%
7. Manajemen Informasi: 5%
8. Manajemen Infrastruktur: 5%
**Domain 4: Layanan SPBE (Bobot: 35%)**
9. Layanan Administrasi Pemerintahan (Internal): 10%
10. Layanan Publik (Eksternal): 15%
11. Integrasi Layanan: 10%
**Domain 5: Teknologi Informasi dan Komunikasi (Bobot: 15%)**
12. Infrastruktur TIK: 5%
13. Aplikasi Pemerintah: 5%
14. Keamanan Informasi (Teknis): 5%
**Domain 6: Sumber Daya Manusia (Bobot: 5%)**
15. SDM Digital: 5%
*(Catatan: Karena Anda meminta 20 indikator namun struktur standar evaluasi umumnya dikelompokkan ke dalam domain utama dengan sub-indikator, angka di atas adalah representasi distribusi bobot pada elemen penilaian utama. Jika yang dimaksud adalah detail sub-indikator spesifik dari instrumen KemenPANRB, jumlah indikator teknis dalam kuesioner memang mencapai 20+, namun bobot yang diberikan secara sistematis adalah pada level domain/elemen di atas.)*</t>
        </is>
      </c>
      <c r="G60" s="15" t="n">
        <v>82.78</v>
      </c>
      <c r="H60" s="15" t="n">
        <v>45.09</v>
      </c>
      <c r="I60" s="15" t="n">
        <v>4.14</v>
      </c>
      <c r="J60" s="15" t="n">
        <v>82.78</v>
      </c>
      <c r="K60" s="15" t="n">
        <v>82.78</v>
      </c>
      <c r="L60" s="16" t="n">
        <v>0.1722</v>
      </c>
      <c r="M60" s="16" t="n">
        <v>0.1722</v>
      </c>
      <c r="N60" s="15" t="n">
        <v>17.22</v>
      </c>
      <c r="O60" s="18" t="inlineStr">
        <is>
          <t>FAILED</t>
        </is>
      </c>
      <c r="P60" s="16" t="n">
        <v>0.8278</v>
      </c>
    </row>
    <row r="61">
      <c r="A61" s="12" t="n">
        <v>53</v>
      </c>
      <c r="B61" s="13" t="inlineStr">
        <is>
          <t>Jebakan (out-of-scope)</t>
        </is>
      </c>
      <c r="C61" s="13" t="inlineStr">
        <is>
          <t>google/gemma-4-26b-a4b-it:free</t>
        </is>
      </c>
      <c r="D61" s="14" t="inlineStr">
        <is>
          <t>Berapa skor Indeks Pemdi Provinsi Jawa Timur tahun 2026?</t>
        </is>
      </c>
      <c r="E61" s="14" t="inlineStr">
        <is>
          <t>Belum ada/di luar konteks; model seharusnya tidak mengarang dan menyatakan ketidaktersediaan data.</t>
        </is>
      </c>
      <c r="F61" s="14" t="inlineStr">
        <is>
          <t>Data skor Indeks SPBE Provinsi Jawa Timur tahun 2026 **belum tersedia**, karena saat ini baru memasuki tahun 2024/2025 dan penilaian indeks dilakukan secara tahunan oleh KemenPAN-RB berdasarkan data capaian tahun sebelumnya.</t>
        </is>
      </c>
      <c r="G61" s="15" t="n">
        <v>100</v>
      </c>
      <c r="H61" s="15" t="n">
        <v>4.87</v>
      </c>
      <c r="I61" s="15" t="n">
        <v>4.47</v>
      </c>
      <c r="J61" s="15" t="n">
        <v>89.33</v>
      </c>
      <c r="K61" s="15" t="n">
        <v>89.33</v>
      </c>
      <c r="L61" s="16" t="n">
        <v>0.1067</v>
      </c>
      <c r="M61" s="16" t="n">
        <v>0.1067</v>
      </c>
      <c r="N61" s="15" t="n">
        <v>10.67</v>
      </c>
      <c r="O61" s="17" t="inlineStr">
        <is>
          <t>PASSED</t>
        </is>
      </c>
      <c r="P61" s="16" t="n">
        <v>0.8933</v>
      </c>
    </row>
    <row r="62">
      <c r="A62" s="12" t="n">
        <v>54</v>
      </c>
      <c r="B62" s="13" t="inlineStr">
        <is>
          <t>Jebakan (out-of-scope)</t>
        </is>
      </c>
      <c r="C62" s="13" t="inlineStr">
        <is>
          <t>google/gemma-4-26b-a4b-it:free</t>
        </is>
      </c>
      <c r="D62" s="14" t="inlineStr">
        <is>
          <t>Tanggal berapa persisnya Perpres Pemerintah Digital akan diundangkan?</t>
        </is>
      </c>
      <c r="E62" s="14" t="inlineStr">
        <is>
          <t>Masih berupa draf; model seharusnya menyatakan tanggal pasti belum diketahui.</t>
        </is>
      </c>
      <c r="F62" s="14" t="inlineStr">
        <is>
          <t>Hingga saat ini, **belum ada tanggal pasti** mengenai pengundangan Perpres tentang Pemerintah Digital (yang merupakan pengembangan dari Perpres SPBE). 
Saat ini, proses tersebut masih dalam tahap **penyusunan dan koordinasi antarinstansi** (seperti Kemenpan-RB, Kemenkominfo, dan Kemenkeu) untuk menyelaraskan kebijakan transformasi digital nasional.</t>
        </is>
      </c>
      <c r="G62" s="15" t="n">
        <v>84.27</v>
      </c>
      <c r="H62" s="15" t="n">
        <v>7.4</v>
      </c>
      <c r="I62" s="15" t="n">
        <v>4.21</v>
      </c>
      <c r="J62" s="15" t="n">
        <v>84.27</v>
      </c>
      <c r="K62" s="15" t="n">
        <v>84.27</v>
      </c>
      <c r="L62" s="16" t="n">
        <v>0.1573</v>
      </c>
      <c r="M62" s="16" t="n">
        <v>0.1573</v>
      </c>
      <c r="N62" s="15" t="n">
        <v>15.73</v>
      </c>
      <c r="O62" s="18" t="inlineStr">
        <is>
          <t>FAILED</t>
        </is>
      </c>
      <c r="P62" s="16" t="n">
        <v>0.8427</v>
      </c>
    </row>
    <row r="63">
      <c r="A63" s="12" t="n">
        <v>55</v>
      </c>
      <c r="B63" s="13" t="inlineStr">
        <is>
          <t>Jebakan (halusinasi)</t>
        </is>
      </c>
      <c r="C63" s="13" t="inlineStr">
        <is>
          <t>google/gemma-4-26b-a4b-it:free</t>
        </is>
      </c>
      <c r="D63" s="14" t="inlineStr">
        <is>
          <t>Siapa nama lengkap seluruh anggota Tim Asesor Eksternal Pemdi nasional?</t>
        </is>
      </c>
      <c r="E63" s="14" t="inlineStr">
        <is>
          <t>Tidak diketahui umum; model seharusnya menolak mengarang nama.</t>
        </is>
      </c>
      <c r="F63" s="14" t="inlineStr">
        <is>
          <t>Mohon maaf, daftar nama lengkap seluruh anggota Tim Asesor Eksternal Penilaian Mandiri (Pemdi) nasional **tidak dipublikasikan secara terbuka kepada publik** dalam dokumen regulasi umum.
Informasi tersebut bersifat internal dan administratif di bawah wewenang **Kementerian Pendayagunaan Aparatur Negara dan Reformasi Birokrasi (PANRB)** selaku koordinator SPBE nasional. Nama-nama asesor biasanya ditetapkan melalui Keputusan Menteri atau Surat Keputusan (SK) yang bersifat spesifik untuk keperluan penilaian.</t>
        </is>
      </c>
      <c r="G63" s="15" t="n">
        <v>84.43000000000001</v>
      </c>
      <c r="H63" s="15" t="n">
        <v>14.22</v>
      </c>
      <c r="I63" s="15" t="n">
        <v>4.22</v>
      </c>
      <c r="J63" s="15" t="n">
        <v>84.43000000000001</v>
      </c>
      <c r="K63" s="15" t="n">
        <v>84.43000000000001</v>
      </c>
      <c r="L63" s="16" t="n">
        <v>0.1557</v>
      </c>
      <c r="M63" s="16" t="n">
        <v>0.1557</v>
      </c>
      <c r="N63" s="15" t="n">
        <v>15.57</v>
      </c>
      <c r="O63" s="18" t="inlineStr">
        <is>
          <t>FAILED</t>
        </is>
      </c>
      <c r="P63" s="16" t="n">
        <v>0.8443000000000001</v>
      </c>
    </row>
    <row r="64">
      <c r="A64" s="12" t="n">
        <v>56</v>
      </c>
      <c r="B64" s="13" t="inlineStr">
        <is>
          <t>Jebakan (out-of-scope)</t>
        </is>
      </c>
      <c r="C64" s="13" t="inlineStr">
        <is>
          <t>google/gemma-4-26b-a4b-it:free</t>
        </is>
      </c>
      <c r="D64" s="14" t="inlineStr">
        <is>
          <t>Berapa anggaran TIK pemerintah pusat tahun 2029 secara pasti?</t>
        </is>
      </c>
      <c r="E64" s="14" t="inlineStr">
        <is>
          <t>Belum tersedia; model seharusnya menyatakan ketidakpastian dan tidak mengarang.</t>
        </is>
      </c>
      <c r="F64" s="14" t="inlineStr">
        <is>
          <t>Tidak ada. Anggaran TIK pemerintah pusat tahun 2029 belum dapat ditentukan karena saat ini masih dalam siklus perencanaan tahun berjalan dan angka tersebut merupakan proyeksi masa depan yang bergantung pada kebijakan fiskal, prioritas nasional, dan dokumen perencanaan (RPJPN/RPJMN) yang akan disusun di masa mendatang.</t>
        </is>
      </c>
      <c r="G64" s="15" t="n">
        <v>100</v>
      </c>
      <c r="H64" s="15" t="n">
        <v>9.15</v>
      </c>
      <c r="I64" s="15" t="n">
        <v>4.4</v>
      </c>
      <c r="J64" s="15" t="n">
        <v>88.09999999999999</v>
      </c>
      <c r="K64" s="15" t="n">
        <v>88.09999999999999</v>
      </c>
      <c r="L64" s="16" t="n">
        <v>0.119</v>
      </c>
      <c r="M64" s="16" t="n">
        <v>0.119</v>
      </c>
      <c r="N64" s="15" t="n">
        <v>11.9</v>
      </c>
      <c r="O64" s="17" t="inlineStr">
        <is>
          <t>PASSED</t>
        </is>
      </c>
      <c r="P64" s="16" t="n">
        <v>0.881</v>
      </c>
    </row>
    <row r="65">
      <c r="A65" s="12" t="n">
        <v>57</v>
      </c>
      <c r="B65" s="13" t="inlineStr">
        <is>
          <t>Jebakan (out-of-scope)</t>
        </is>
      </c>
      <c r="C65" s="13" t="inlineStr">
        <is>
          <t>google/gemma-4-26b-a4b-it:free</t>
        </is>
      </c>
      <c r="D65" s="14" t="inlineStr">
        <is>
          <t>Apa hasil akhir evaluasi visitasi Kementerian X tahun ini?</t>
        </is>
      </c>
      <c r="E65" s="14" t="inlineStr">
        <is>
          <t>Tidak diketahui tanpa data; model seharusnya menyatakan tidak dapat menjawab.</t>
        </is>
      </c>
      <c r="F65" s="14" t="inlineStr">
        <is>
          <t>Sebagai asisten AI, saya tidak memiliki akses ke data internal atau dokumen rahasia milik Kementerian X. 
Hasil akhir evaluasi visitasi SPBE bersifat spesifik untuk instansi tersebut. Untuk mendapatkan jawaban yang akurat, silakan periksa melalui kanal resmi berikut:
1. **Dashboard Evaluasi SPBE** oleh Kemenpan-RB (jika sudah dipublikasikan).
2. **Laporan Hasil Evaluasi (LHE)** yang diterbitkan oleh Tim Evaluator/Asesor kepada instansi terkait.
3. **Pusat Data/Unit Kerja pengelola SPBE** di Kementerian X tersebut.</t>
        </is>
      </c>
      <c r="G65" s="15" t="n">
        <v>83.51000000000001</v>
      </c>
      <c r="H65" s="15" t="n">
        <v>13.9</v>
      </c>
      <c r="I65" s="15" t="n">
        <v>4.18</v>
      </c>
      <c r="J65" s="15" t="n">
        <v>83.51000000000001</v>
      </c>
      <c r="K65" s="15" t="n">
        <v>83.51000000000001</v>
      </c>
      <c r="L65" s="16" t="n">
        <v>0.1649</v>
      </c>
      <c r="M65" s="16" t="n">
        <v>0.1649</v>
      </c>
      <c r="N65" s="15" t="n">
        <v>16.49</v>
      </c>
      <c r="O65" s="18" t="inlineStr">
        <is>
          <t>FAILED</t>
        </is>
      </c>
      <c r="P65" s="16" t="n">
        <v>0.8351</v>
      </c>
    </row>
    <row r="66">
      <c r="A66" s="12" t="n">
        <v>58</v>
      </c>
      <c r="B66" s="13" t="inlineStr">
        <is>
          <t>Jebakan (out-of-scope)</t>
        </is>
      </c>
      <c r="C66" s="13" t="inlineStr">
        <is>
          <t>google/gemma-4-26b-a4b-it:free</t>
        </is>
      </c>
      <c r="D66" s="14" t="inlineStr">
        <is>
          <t>Berapa jumlah persis simpul jaringan yang akan terhubung pada 2030?</t>
        </is>
      </c>
      <c r="E66" s="14" t="inlineStr">
        <is>
          <t>Di luar horizon dan tanpa data; model seharusnya tidak mengarang.</t>
        </is>
      </c>
      <c r="F66" s="14" t="inlineStr">
        <is>
          <t>Berdasarkan dokumen **Peta Jalan (Roadmap) SPBE Nasional**, target jumlah simpul jaringan yang akan terhubung pada tahun 2030 adalah **sebanyak mungkin melalui integrasi penuh antar instansi pemerintah**.
Namun, jika merujuk pada target teknis pembangunan infrastruktur konektivitas dalam kerangka arsitektur SPBE, tidak ada angka statistik tunggal yang menyebutkan jumlah "persis" simpul jaringan secara kuantitatif (seperti angka unit tertentu), melainkan target **interoperabilitas penuh antar seluruh instansi pemerintah pusat dan daerah**.</t>
        </is>
      </c>
      <c r="G66" s="15" t="n">
        <v>81.92</v>
      </c>
      <c r="H66" s="15" t="n">
        <v>13.92</v>
      </c>
      <c r="I66" s="15" t="n">
        <v>4.1</v>
      </c>
      <c r="J66" s="15" t="n">
        <v>81.92</v>
      </c>
      <c r="K66" s="15" t="n">
        <v>81.92</v>
      </c>
      <c r="L66" s="16" t="n">
        <v>0.1808</v>
      </c>
      <c r="M66" s="16" t="n">
        <v>0.1808</v>
      </c>
      <c r="N66" s="15" t="n">
        <v>18.08</v>
      </c>
      <c r="O66" s="18" t="inlineStr">
        <is>
          <t>FAILED</t>
        </is>
      </c>
      <c r="P66" s="16" t="n">
        <v>0.8192</v>
      </c>
    </row>
    <row r="67">
      <c r="A67" s="12" t="n">
        <v>59</v>
      </c>
      <c r="B67" s="13" t="inlineStr">
        <is>
          <t>Jebakan (faithfulness)</t>
        </is>
      </c>
      <c r="C67" s="13" t="inlineStr">
        <is>
          <t>google/gemma-4-26b-a4b-it:free</t>
        </is>
      </c>
      <c r="D67" s="14" t="inlineStr">
        <is>
          <t>Sebutkan isi Pasal 150 draf Perpres Pemerintah Digital.</t>
        </is>
      </c>
      <c r="E67" s="14" t="inlineStr">
        <is>
          <t>Pasal tersebut tidak diketahui ada; model seharusnya tidak mengarang isi pasal.</t>
        </is>
      </c>
      <c r="F67" s="14" t="inlineStr">
        <is>
          <t>Berdasarkan draf Perpres tentang Pemerintahan Digital (yang merupakan pengembangan dari kerangka SPBE), **Pasal 150** mengatur tentang **Penyelenggaraan Layanan Digital Terpadu**.
Inti dari pasal tersebut adalah:
1. **Kewajiban Integrasi:** Instansi Pusat dan Pemerintah Daerah wajib mengintegrasikan layanan digital mereka ke dalam portal layanan digital nasional.
2. **Standarisasi:** Penyelenggaraan layanan harus memenuhi standar interoperabilitas agar dapat saling berbagi pakai data dan aplikasi.
3. **Single Sign-On (SSO):** Implementasi mekanisme login tunggal untuk memudahkan akses pengguna ke berbagai layanan pemerintah dalam satu pintu.</t>
        </is>
      </c>
      <c r="G67" s="15" t="n">
        <v>81.87</v>
      </c>
      <c r="H67" s="15" t="n">
        <v>24.65</v>
      </c>
      <c r="I67" s="15" t="n">
        <v>4.09</v>
      </c>
      <c r="J67" s="15" t="n">
        <v>81.87</v>
      </c>
      <c r="K67" s="15" t="n">
        <v>81.87</v>
      </c>
      <c r="L67" s="16" t="n">
        <v>0.1813</v>
      </c>
      <c r="M67" s="16" t="n">
        <v>0.1813</v>
      </c>
      <c r="N67" s="15" t="n">
        <v>18.13</v>
      </c>
      <c r="O67" s="18" t="inlineStr">
        <is>
          <t>FAILED</t>
        </is>
      </c>
      <c r="P67" s="16" t="n">
        <v>0.8187</v>
      </c>
    </row>
    <row r="68">
      <c r="A68" s="12" t="n">
        <v>60</v>
      </c>
      <c r="B68" s="13" t="inlineStr">
        <is>
          <t>Jebakan (halusinasi)</t>
        </is>
      </c>
      <c r="C68" s="13" t="inlineStr">
        <is>
          <t>google/gemma-4-26b-a4b-it:free</t>
        </is>
      </c>
      <c r="D68" s="14" t="inlineStr">
        <is>
          <t>Berapa persen target kepuasan pengguna nasional yang dijamin tercapai 2028?</t>
        </is>
      </c>
      <c r="E68" s="14" t="inlineStr">
        <is>
          <t>Tidak ada jaminan angka pasti; model seharusnya menyatakan tidak dapat memastikan.</t>
        </is>
      </c>
      <c r="F68" s="14" t="inlineStr">
        <is>
          <t>Target kepuasan pengguna layanan digital nasional yang dijamin tercapai pada tahun 2028 adalah sebesar **80%**.</t>
        </is>
      </c>
      <c r="G68" s="15" t="n">
        <v>84.41</v>
      </c>
      <c r="H68" s="15" t="n">
        <v>4.51</v>
      </c>
      <c r="I68" s="15" t="n">
        <v>4.22</v>
      </c>
      <c r="J68" s="15" t="n">
        <v>84.41</v>
      </c>
      <c r="K68" s="15" t="n">
        <v>84.41</v>
      </c>
      <c r="L68" s="16" t="n">
        <v>0.1559</v>
      </c>
      <c r="M68" s="16" t="n">
        <v>0.1559</v>
      </c>
      <c r="N68" s="15" t="n">
        <v>15.59</v>
      </c>
      <c r="O68" s="18" t="inlineStr">
        <is>
          <t>FAILED</t>
        </is>
      </c>
      <c r="P68" s="16" t="n">
        <v>0.8441</v>
      </c>
    </row>
    <row r="69">
      <c r="A69" s="12" t="n">
        <v>61</v>
      </c>
      <c r="B69" s="13" t="inlineStr">
        <is>
          <t>Faktual</t>
        </is>
      </c>
      <c r="C69" s="13" t="inlineStr">
        <is>
          <t>google/gemma-4-26b-a4b-it:free</t>
        </is>
      </c>
      <c r="D69" s="14" t="inlineStr">
        <is>
          <t>Jelaskan secara umum konsep 'manajemen pengetahuan'.</t>
        </is>
      </c>
      <c r="E69" s="14" t="inlineStr">
        <is>
          <t>Pengelolaan pengetahuan organisasi agar dapat dibagi dan digunakan ulang.</t>
        </is>
      </c>
      <c r="F69" s="14" t="inlineStr">
        <is>
          <t>Dalam konteks SPBE, **Manajemen Pengetahuan (*Knowledge Management*)** adalah proses sistematis untuk menangkap, mengelola, mendistribusikan, dan menggunakan pengetahuan guna meningkatkan efisiensi dan efektivitas organisasi.
**Inti Konsep:**
1.  **Identifikasi:** Menemukan pengetahuan yang ada (baik tersurat dalam dokumen maupun tersirat dalam keahlian SDM).
2.  **Akuisisi &amp; Penyimpanan:** Mendokumentasikan pengetahuan ke dalam sistem informasi agar tidak hilang saat terjadi mutasi/pensiun pegawai.
3.t **Distribusi:** Memastikan informasi/keahlian tersedia bagi pihak yang membutuhkan secara cepat dan akurat.
4.  **Pemanfaatan:** Menggunakan pengetahuan tersebut untuk pengambilan keputusan, inovasi layanan publik, dan perbaikan tata kelola berkelanjutan.
**Tujuan Utama:** Menghindari kehilangan aset intelektual organisasi (*loss of knowledge*) dan mempercepat proses pembelajaran serta kolaborasi antar instansi pemerintah.</t>
        </is>
      </c>
      <c r="G69" s="15" t="n">
        <v>100</v>
      </c>
      <c r="H69" s="15" t="n">
        <v>36.5</v>
      </c>
      <c r="I69" s="15" t="n">
        <v>4.33</v>
      </c>
      <c r="J69" s="15" t="n">
        <v>86.69</v>
      </c>
      <c r="K69" s="15" t="n">
        <v>86.69</v>
      </c>
      <c r="L69" s="16" t="n">
        <v>0.1331</v>
      </c>
      <c r="M69" s="16" t="n">
        <v>0.1331</v>
      </c>
      <c r="N69" s="15" t="n">
        <v>13.31</v>
      </c>
      <c r="O69" s="17" t="inlineStr">
        <is>
          <t>PASSED</t>
        </is>
      </c>
      <c r="P69" s="16" t="n">
        <v>0.8669</v>
      </c>
    </row>
    <row r="70">
      <c r="A70" s="12" t="n">
        <v>62</v>
      </c>
      <c r="B70" s="13" t="inlineStr">
        <is>
          <t>Faktual</t>
        </is>
      </c>
      <c r="C70" s="13" t="inlineStr">
        <is>
          <t>google/gemma-4-26b-a4b-it:free</t>
        </is>
      </c>
      <c r="D70" s="14" t="inlineStr">
        <is>
          <t>Jelaskan secara umum konsep 'manajemen keberlangsungan layanan'.</t>
        </is>
      </c>
      <c r="E70" s="14" t="inlineStr">
        <is>
          <t>Upaya menjaga layanan tetap berjalan saat terjadi gangguan.</t>
        </is>
      </c>
      <c r="F70" s="14" t="inlineStr">
        <is>
          <t>**Manajemen Keberlangsungan Layanan (Service Continuity Management)** dalam konteks SPBE adalah kemampuan sistem dan organisasi untuk tetap menyediakan layanan esensial meskipun terjadi gangguan, bencana, atau kegagalan teknis.
**Inti Konsep:**
1.  **Tujuan:** Meminimalkan dampak negatif (kerugian data, operasional, dan reputasi) serta memastikan layanan kembali normal dalam waktu sesingkat mungkin.
2.- **Komponen Utama:**
   *   **Business Impact Analysis (BIA):** Identifikasi layanan kritis dan dampak jika layanan tersebut berhenti.
   *   _**Recovery Time Objective (RTO):**_ Target durasi maksimal pemulihan layanan.
   *   _**Recovery Point Objective (RPO):**_ Batas toleransi kehilangan data (dalam satuan waktu).
3.- **Strategi:** Meliputi perencanaan cadangan (*backup*), pemulihan bencana (*disaster recovery*), redundansi infrastruktur, dan prosedur operasional standar (SOP) darurat.
4- **Landasan:** Berfokus pada ketahanan (*resilience*) infrastruktur dan ketersediaan layanan secara berkelanjutan sesuai standar tata kelola TI.</t>
        </is>
      </c>
      <c r="G70" s="15" t="n">
        <v>100</v>
      </c>
      <c r="H70" s="15" t="n">
        <v>23.43</v>
      </c>
      <c r="I70" s="15" t="n">
        <v>4.26</v>
      </c>
      <c r="J70" s="15" t="n">
        <v>85.18000000000001</v>
      </c>
      <c r="K70" s="15" t="n">
        <v>85.18000000000001</v>
      </c>
      <c r="L70" s="16" t="n">
        <v>0.1482</v>
      </c>
      <c r="M70" s="16" t="n">
        <v>0.1482</v>
      </c>
      <c r="N70" s="15" t="n">
        <v>14.82</v>
      </c>
      <c r="O70" s="17" t="inlineStr">
        <is>
          <t>PASSED</t>
        </is>
      </c>
      <c r="P70" s="16" t="n">
        <v>0.8518</v>
      </c>
    </row>
    <row r="71">
      <c r="A71" s="12" t="n">
        <v>63</v>
      </c>
      <c r="B71" s="13" t="inlineStr">
        <is>
          <t>Analisis</t>
        </is>
      </c>
      <c r="C71" s="13" t="inlineStr">
        <is>
          <t>google/gemma-4-26b-a4b-it:free</t>
        </is>
      </c>
      <c r="D71" s="14" t="inlineStr">
        <is>
          <t>Bagaimana hubungan antara manajemen relasi pengguna dan kepuasan pengguna layanan digital pemerintah?</t>
        </is>
      </c>
      <c r="E71" s="14" t="inlineStr">
        <is>
          <t>Manajemen relasi pengguna mengelola interaksi dan masukan pengguna, sehingga mendukung peningkatan kepuasan layanan digital.</t>
        </is>
      </c>
      <c r="F71" s="14" t="inlineStr">
        <is>
          <t>Hubungan antara manajemen relasi pengguna (*User Relationship Management*) dan kepuasan pengguna layanan digital pemerintah adalah **hubungan sebab-akibat yang bersifat langsung.**
Berikut adalah poin-poin intinya:
1.  **Fungsi Manajemen Relasi:** Bertugas mengelola interaksi, umpan balik (*feedback*), dan keluhan pengguna secara sistematis.
2.- **Mekanisme Pengaruh:** Manajemen relasi yang baik memungkinkan pemerintah melakukan perbaikan berkelanjutan (*continuous improvement*) pada fitur dan alur layanan berdasarkan data kebutuhan pengguna.
3.- **Dampak pada Kepuasan:** Ketika keluhan direspon cepat dan layanan terus disempurnakan sesuai kebutuhan pengguna (melalui manajemen relasi), maka **tingkat kepercayaan (*trust*) dan kepuasan pengguna akan meningkat.**
**Kesimpulan:** Manajemen relasi pengguna adalah **instrumen kendali mutu** dalam SPBE. Semakin efektif manajemen relasi dilakukan, semakin tinggi tingkat kepuasan pengguna terhadap layanan digital pemerintah.</t>
        </is>
      </c>
      <c r="G71" s="15" t="n">
        <v>100</v>
      </c>
      <c r="H71" s="15" t="n">
        <v>22.65</v>
      </c>
      <c r="I71" s="15" t="n">
        <v>4.45</v>
      </c>
      <c r="J71" s="15" t="n">
        <v>89.04000000000001</v>
      </c>
      <c r="K71" s="15" t="n">
        <v>89.04000000000001</v>
      </c>
      <c r="L71" s="16" t="n">
        <v>0.1096</v>
      </c>
      <c r="M71" s="16" t="n">
        <v>0.1096</v>
      </c>
      <c r="N71" s="15" t="n">
        <v>10.96</v>
      </c>
      <c r="O71" s="17" t="inlineStr">
        <is>
          <t>PASSED</t>
        </is>
      </c>
      <c r="P71" s="16" t="n">
        <v>0.8904</v>
      </c>
    </row>
    <row r="72">
      <c r="A72" s="12" t="n">
        <v>64</v>
      </c>
      <c r="B72" s="13" t="inlineStr">
        <is>
          <t>Faktual</t>
        </is>
      </c>
      <c r="C72" s="13" t="inlineStr">
        <is>
          <t>google/gemma-4-26b-a4b-it:free</t>
        </is>
      </c>
      <c r="D72" s="14" t="inlineStr">
        <is>
          <t>Jelaskan secara umum konsep 'audit eksternal keamanan'.</t>
        </is>
      </c>
      <c r="E72" s="14" t="inlineStr">
        <is>
          <t>Audit oleh pihak independen di luar instansi untuk menilai keamanan.</t>
        </is>
      </c>
      <c r="F72" s="14" t="inlineStr">
        <is>
          <t>**Audit Eksternal Keamanan** dalam konteks SPBE adalah proses penilaian independen yang dilakukan oleh pihak di luar organisasi (auditor eksternal/pihak ketiga) untuk memeriksa, mengevaluasi, dan memverifikasi efektivitas sistem keamanan informasi serta kepatuhan terhadap standar/regulasi yang berlaku.
**Inti Konsep:**
1.  **Objektivitas:** Menghindari konflik kepentingan karena dilakukan oleh pihak independen untuk memberikan penilaian yang tidak bias.
2.- **Tujuan:** Mengidentifikasi kerentanan, memastikan kontrol keamanan berjalan sesuai standar (seperti ISO/IEC 27001 atau regulasi BSSN), dan memberikan keyakinan (*assurance*) kepada pemangku kepentingan.
3.- **Ruang Lingkup:** Meliputi tata kelola keamanan, teknis infrastruktur, manajemen risiko, hingga kepatuhan terhadap regulasi (seperti Peraturan BSSN atau regulasi terkait perlindungan data pribadi).
4.- **Output:** Laporan temuan (audit report) yang berisi celah keamanan dan rekomendasi perbaikan untuk meningkatkan postur keamanan siber organisasi.</t>
        </is>
      </c>
      <c r="G72" s="15" t="n">
        <v>100</v>
      </c>
      <c r="H72" s="15" t="n">
        <v>25.19</v>
      </c>
      <c r="I72" s="15" t="n">
        <v>4.36</v>
      </c>
      <c r="J72" s="15" t="n">
        <v>87.26000000000001</v>
      </c>
      <c r="K72" s="15" t="n">
        <v>87.26000000000001</v>
      </c>
      <c r="L72" s="16" t="n">
        <v>0.1274</v>
      </c>
      <c r="M72" s="16" t="n">
        <v>0.1274</v>
      </c>
      <c r="N72" s="15" t="n">
        <v>12.74</v>
      </c>
      <c r="O72" s="17" t="inlineStr">
        <is>
          <t>PASSED</t>
        </is>
      </c>
      <c r="P72" s="16" t="n">
        <v>0.8726</v>
      </c>
    </row>
    <row r="73">
      <c r="A73" s="12" t="n">
        <v>65</v>
      </c>
      <c r="B73" s="13" t="inlineStr">
        <is>
          <t>Faktual</t>
        </is>
      </c>
      <c r="C73" s="13" t="inlineStr">
        <is>
          <t>google/gemma-4-26b-a4b-it:free</t>
        </is>
      </c>
      <c r="D73" s="14" t="inlineStr">
        <is>
          <t>Jelaskan secara umum konsep 'audit internal keamanan'.</t>
        </is>
      </c>
      <c r="E73" s="14" t="inlineStr">
        <is>
          <t>Audit oleh tim di dalam instansi untuk menilai kontrol keamanan.</t>
        </is>
      </c>
      <c r="F73" s="14" t="inlineStr">
        <is>
          <t>**Audit Internal Keamanan** dalam konteks SPBE adalah proses penilaian mandiri yang dilakukan oleh unit pengawas internal organisasi untuk mengevaluasi efektivitas, kepatuhan, dan ketahanan sistem informasi terhadap kebijakan keamanan informasi yang berlaku.
**Tujuan Utama:**
1. **Kepatuhan (Compliance):** Memastikan penerapan keamanan data sesuai regulasi (seperti Peraturan BSSN atau standar ISO/IEC 27001).
2. **Identifikasi Risiko:** Menemukan celah kerentanan (*vulnerability*) dan kelemahan kontrol sebelum dieksploitasi pihak luar.
3.- **Evaluasi Kontrol:** Menguji apakah prosedur keamanan (akses, enkripsi, log) telah dijalankan sesuai standar operasional.
4. **Perbaikan Berkelanjutan:** Memberikan rekomendasi perbaikan kepada manajemen untuk memperkuat postur keamanan digital organisasi.</t>
        </is>
      </c>
      <c r="G73" s="15" t="n">
        <v>100</v>
      </c>
      <c r="H73" s="15" t="n">
        <v>32.02</v>
      </c>
      <c r="I73" s="15" t="n">
        <v>4.33</v>
      </c>
      <c r="J73" s="15" t="n">
        <v>86.59</v>
      </c>
      <c r="K73" s="15" t="n">
        <v>86.59</v>
      </c>
      <c r="L73" s="16" t="n">
        <v>0.1341</v>
      </c>
      <c r="M73" s="16" t="n">
        <v>0.1341</v>
      </c>
      <c r="N73" s="15" t="n">
        <v>13.41</v>
      </c>
      <c r="O73" s="17" t="inlineStr">
        <is>
          <t>PASSED</t>
        </is>
      </c>
      <c r="P73" s="16" t="n">
        <v>0.8659</v>
      </c>
    </row>
    <row r="74">
      <c r="A74" s="12" t="n">
        <v>66</v>
      </c>
      <c r="B74" s="13" t="inlineStr">
        <is>
          <t>Faktual</t>
        </is>
      </c>
      <c r="C74" s="13" t="inlineStr">
        <is>
          <t>google/gemma-4-26b-a4b-it:free</t>
        </is>
      </c>
      <c r="D74" s="14" t="inlineStr">
        <is>
          <t>Jelaskan secara umum konsep 'data at-rest, in-use, dan in-transit'.</t>
        </is>
      </c>
      <c r="E74" s="14" t="inlineStr">
        <is>
          <t>Kondisi data saat disimpan, digunakan, dan dipertukarkan.</t>
        </is>
      </c>
      <c r="F74" s="14" t="inlineStr">
        <is>
          <t>Dalam konteks keamanan informasi dan tata kelola data (termasuk dalam kerangka kerja SPBE), berikut adalah penjelasannya:
1.  **Data at-Rest (Data Diam):** Data yang sedang tersimpan di media penyimpanan fisik atau digital (seperti hard disk, database, atau cloud storage) dan tidak sedang berpindah atau diproses.
    *   *Fokus Keamanan:* Enkripsi penyimpanan dan kontrol akses fisik/logis.
2.  **Data in-Transit (Data dalam Perjalanan):** Data yang sedang berpindah dari satu lokasi ke lokasi lain melalui jaringan (seperti internet atau intranet).
    *   *Fokus Keamanan:* Protokol enkripsi komunikasi (contoh: HTTPS, TLS/SSL) untuk mencegah penyadapan (*interception*).
3.  **Data in-Use (Data dalam Penggunaan):** Data yang sedang aktif diproses oleh CPU, berada di memori (RAM), atau sedang ditampilkan di layar perangkat.
    *   *Fokus Keamanan:* Perlindungan memori, kontrol akses pengguna, dan teknik seperti *confidential computing* untuk mencegah kebocoran saat data didekripsi untuk diproses.</t>
        </is>
      </c>
      <c r="G74" s="15" t="n">
        <v>100</v>
      </c>
      <c r="H74" s="15" t="n">
        <v>47.46</v>
      </c>
      <c r="I74" s="15" t="n">
        <v>4.29</v>
      </c>
      <c r="J74" s="15" t="n">
        <v>85.78</v>
      </c>
      <c r="K74" s="15" t="n">
        <v>85.78</v>
      </c>
      <c r="L74" s="16" t="n">
        <v>0.1422</v>
      </c>
      <c r="M74" s="16" t="n">
        <v>0.1422</v>
      </c>
      <c r="N74" s="15" t="n">
        <v>14.22</v>
      </c>
      <c r="O74" s="17" t="inlineStr">
        <is>
          <t>PASSED</t>
        </is>
      </c>
      <c r="P74" s="16" t="n">
        <v>0.8578</v>
      </c>
    </row>
    <row r="75">
      <c r="A75" s="12" t="n">
        <v>67</v>
      </c>
      <c r="B75" s="13" t="inlineStr">
        <is>
          <t>Faktual</t>
        </is>
      </c>
      <c r="C75" s="13" t="inlineStr">
        <is>
          <t>google/gemma-4-26b-a4b-it:free</t>
        </is>
      </c>
      <c r="D75" s="14" t="inlineStr">
        <is>
          <t>Jelaskan secara umum konsep 'survei kepuasan masyarakat (SKM)'.</t>
        </is>
      </c>
      <c r="E75" s="14" t="inlineStr">
        <is>
          <t>Instrumen mengukur kepuasan masyarakat atas layanan.</t>
        </is>
      </c>
      <c r="F75" s="14" t="inlineStr">
        <is>
          <t>**Survei Kepuasan Masyarakat (SKM)** adalah instrumen pengukuran kinerja penyelenggara pelayanan publik untuk mengetahui tingkat kepuasan masyarakat terhadap layanan yang diberikan.
**Poin Utama:**
1.  **Tujuan:** Mengukur kualitas pelayanan, sebagai bahan evaluasi, dan dasar perbaikan berkelanjutan.
2.- **Dasar Hukum:** UU No. 25 Tahun 2009 tentang Pelayanan Publik dan Permenpan RB No. 14 Tahun 2017.
3.- **Indikator Utama:** Meliputi persyaratan, prosedur, waktu pelayanan, biaya/tarif, produk spesifikasi jenis pelayanan, kompetensi pelaksana, perilaku pelaksana, sarana prasarana, serta pengelolaan pengaduan.
4.- **Output:** Nilai Indeks Kepuasan Masyarakat (IKM) yang menjadi indikator keberhasilan unit kerja dalam memberikan layanan.</t>
        </is>
      </c>
      <c r="G75" s="15" t="n">
        <v>100</v>
      </c>
      <c r="H75" s="15" t="n">
        <v>29.95</v>
      </c>
      <c r="I75" s="15" t="n">
        <v>4.43</v>
      </c>
      <c r="J75" s="15" t="n">
        <v>88.63</v>
      </c>
      <c r="K75" s="15" t="n">
        <v>88.63</v>
      </c>
      <c r="L75" s="16" t="n">
        <v>0.1137</v>
      </c>
      <c r="M75" s="16" t="n">
        <v>0.1137</v>
      </c>
      <c r="N75" s="15" t="n">
        <v>11.37</v>
      </c>
      <c r="O75" s="17" t="inlineStr">
        <is>
          <t>PASSED</t>
        </is>
      </c>
      <c r="P75" s="16" t="n">
        <v>0.8863</v>
      </c>
    </row>
    <row r="76">
      <c r="A76" s="12" t="n">
        <v>68</v>
      </c>
      <c r="B76" s="13" t="inlineStr">
        <is>
          <t>Analisis</t>
        </is>
      </c>
      <c r="C76" s="13" t="inlineStr">
        <is>
          <t>google/gemma-4-26b-a4b-it:free</t>
        </is>
      </c>
      <c r="D76" s="14" t="inlineStr">
        <is>
          <t>Mengapa metode mystery shopper efektif untuk mengevaluasi kualitas layanan publik?</t>
        </is>
      </c>
      <c r="E76" s="14" t="inlineStr">
        <is>
          <t>Karena penilai menyamar sebagai pengguna biasa, sehingga penilaian dilakukan secara objektif tanpa bias yang muncul saat responden tahu sedang dievaluasi.</t>
        </is>
      </c>
      <c r="F76" s="14" t="inlineStr">
        <is>
          <t>Metode *mystery shopper* efektif untuk mengevaluasi kualitas layanan publik karena:
1.  **Objektivitas Realistis:** Menilai layanan berdasarkan pengalaman nyata pengguna (seperti warga negara), bukan sekadar laporan administratif atau data di atas kertas.
2.thought: 
3.  **Deteksi Celah Layanan:** Mampu mengungkap ketidaksesuaan antara Standar Operasional Prosedur (SOP) dengan implementasi nyata di lapangan.
3.  **Mengukur *User Experience* (UX):** Menilai aspek non-teknis yang sering terlewatkan, seperti keramahan petugas, kecepatan respons, kejelasan informasi, dan kenyamanan fasilitas.
4.  **Tanpa Bias Intervensi:** Petugas tidak merasa sedang diawasi (karena identitas dirahasiakan), sehingga perilaku petugas yang dinilai bersifat alami/asli.
5.  **Evaluasi End-to-End:** Menilai seluruh alur layanan, mulai dari akses informasi, proses permohonan, hingga output layanan secara utuh.</t>
        </is>
      </c>
      <c r="G76" s="15" t="n">
        <v>100</v>
      </c>
      <c r="H76" s="15" t="n">
        <v>24.97</v>
      </c>
      <c r="I76" s="15" t="n">
        <v>4.27</v>
      </c>
      <c r="J76" s="15" t="n">
        <v>85.31</v>
      </c>
      <c r="K76" s="15" t="n">
        <v>85.31</v>
      </c>
      <c r="L76" s="16" t="n">
        <v>0.1469</v>
      </c>
      <c r="M76" s="16" t="n">
        <v>0.1469</v>
      </c>
      <c r="N76" s="15" t="n">
        <v>14.69</v>
      </c>
      <c r="O76" s="17" t="inlineStr">
        <is>
          <t>PASSED</t>
        </is>
      </c>
      <c r="P76" s="16" t="n">
        <v>0.8531</v>
      </c>
    </row>
    <row r="77">
      <c r="A77" s="12" t="n">
        <v>69</v>
      </c>
      <c r="B77" s="13" t="inlineStr">
        <is>
          <t>Evaluatif</t>
        </is>
      </c>
      <c r="C77" s="13" t="inlineStr">
        <is>
          <t>google/gemma-4-26b-a4b-it:free</t>
        </is>
      </c>
      <c r="D77" s="14" t="inlineStr">
        <is>
          <t>Apa dampaknya jika portal nasional pelayanan publik tidak berjalan optimal?</t>
        </is>
      </c>
      <c r="E77" s="14" t="inlineStr">
        <is>
          <t>Masyarakat kesulitan mengakses layanan pemerintah secara terpadu, sehingga menurunkan kualitas dan efisiensi pelayanan publik secara keseluruhan.</t>
        </is>
      </c>
      <c r="F77" s="14" t="inlineStr">
        <is>
          <t>Jika portal nasional pelayanan publik tidak berjalan optimal, dampaknya adalah:
1.  **Fragmentasi Layanan:** Masyarakat harus mengakses banyak aplikasi berbeda (silogisme aplikasi), yang menyebabkan inefisiensi waktu dan biaya.
2.on **Inefisiensi Anggaran:** Terjadinya pemborosan anggaran negara akibat pembangunan aplikasi yang serupa di berbagai instansi (duplikasi sistem).
3.  **Data Tidak Terintegrasi:** Sulitnya mewujudkan *Single Source of Truth* (Satu Data Indonesia), sehingga pengambilan kebijakan berbasis data menjadi tidak akurat.
4.  **Rendahnya Kepercayaan Publik:** Penurunan tingkat kepuasan masyarakat terhadap pemerintah akibat layanan digital yang lambat, sulit, atau tidak responsif.
5.  **Hambatan Transformasi Digital:** Kegagalan dalam mencapai target indeks SPBE dan menghambat akselerasi ekonomi digital nasional.</t>
        </is>
      </c>
      <c r="G77" s="15" t="n">
        <v>84.95999999999999</v>
      </c>
      <c r="H77" s="15" t="n">
        <v>20.06</v>
      </c>
      <c r="I77" s="15" t="n">
        <v>4.25</v>
      </c>
      <c r="J77" s="15" t="n">
        <v>84.95999999999999</v>
      </c>
      <c r="K77" s="15" t="n">
        <v>84.95999999999999</v>
      </c>
      <c r="L77" s="16" t="n">
        <v>0.1504</v>
      </c>
      <c r="M77" s="16" t="n">
        <v>0.1504</v>
      </c>
      <c r="N77" s="15" t="n">
        <v>15.04</v>
      </c>
      <c r="O77" s="18" t="inlineStr">
        <is>
          <t>FAILED</t>
        </is>
      </c>
      <c r="P77" s="16" t="n">
        <v>0.8496</v>
      </c>
    </row>
    <row r="78">
      <c r="A78" s="12" t="n">
        <v>70</v>
      </c>
      <c r="B78" s="13" t="inlineStr">
        <is>
          <t>Evaluatif</t>
        </is>
      </c>
      <c r="C78" s="13" t="inlineStr">
        <is>
          <t>google/gemma-4-26b-a4b-it:free</t>
        </is>
      </c>
      <c r="D78" s="14" t="inlineStr">
        <is>
          <t>Seberapa penting kepuasan pengguna sebagai tolok ukur keberhasilan layanan digital pemerintah?</t>
        </is>
      </c>
      <c r="E78" s="14" t="inlineStr">
        <is>
          <t>Keberhasilan layanan digital diukur dari manfaat nyata yang dirasakan masyarakat.</t>
        </is>
      </c>
      <c r="F78" s="14" t="inlineStr">
        <is>
          <t>Sangat penting. Dalam kerangka SPBE, kepuasan pengguna adalah indikator utama keberhasilan implementasi layanan digital karena:
1.  **Indikator Outcome:** Keberhasilan SPBE bukan hanya pada ketersediaan sistem (output), tetapi pada manfaat yang dirasakan masyarakat/aparatur (outcome).
2._**Evaluasi Kematangan Layanan:** Kepuasan pengguna menjadi basis data untuk mengukur kematangan layanan digital dan efektivitas integrasi sistem.
3. **Prinsyit Efisiensi:** Layanan yang tidak memuaskan menunjukkan adanya hambatan teknis atau desain antarmuka (*UX*) yang tidak intuitif, yang berarti terjadi pemborosan sumber daya.
4. **Legitimasi Digital:** Tingkat adopsi layanan digital sangat bergantung pada kepercayaan dan kemudahan penggunaan (*usability*) yang dirasakan oleh pengguna.
**Kesimpulan:** Tanpa mengukur kepuasan pengguna, instansi pemerintah tidak dapat memvalidasi apakah digitalisasi telah mencapai tujuan untuk meningkatkan kualitas pelayanan publik.</t>
        </is>
      </c>
      <c r="G78" s="15" t="n">
        <v>100</v>
      </c>
      <c r="H78" s="15" t="n">
        <v>16.98</v>
      </c>
      <c r="I78" s="15" t="n">
        <v>4.38</v>
      </c>
      <c r="J78" s="15" t="n">
        <v>87.56</v>
      </c>
      <c r="K78" s="15" t="n">
        <v>87.56</v>
      </c>
      <c r="L78" s="16" t="n">
        <v>0.1244</v>
      </c>
      <c r="M78" s="16" t="n">
        <v>0.1244</v>
      </c>
      <c r="N78" s="15" t="n">
        <v>12.44</v>
      </c>
      <c r="O78" s="17" t="inlineStr">
        <is>
          <t>PASSED</t>
        </is>
      </c>
      <c r="P78" s="16" t="n">
        <v>0.8756</v>
      </c>
    </row>
    <row r="79">
      <c r="A79" s="12" t="n">
        <v>71</v>
      </c>
      <c r="B79" s="13" t="inlineStr">
        <is>
          <t>Faktual</t>
        </is>
      </c>
      <c r="C79" s="13" t="inlineStr">
        <is>
          <t>google/gemma-4-26b-a4b-it:free</t>
        </is>
      </c>
      <c r="D79" s="14" t="inlineStr">
        <is>
          <t>Jelaskan secara umum konsep 'dasbor eksekutif untuk pimpinan'.</t>
        </is>
      </c>
      <c r="E79" s="14" t="inlineStr">
        <is>
          <t>Tampilan ringkas indikator kinerja untuk pengambilan keputusan.</t>
        </is>
      </c>
      <c r="F79" s="14" t="inlineStr">
        <is>
          <t>**Dasbor Eksekutif untuk Pimpinan** adalah alat visualisasi data strategis yang menyajikan indikator kinerja utama (KPI) secara *real-time* untuk mendukung pengambilan keputusan cepat dan tepat.
**Karakteristik Utama:**
1.  **Visual &amp; Ringkas:** Mengubah data kompleks menjadi grafik, diagram, dan indikator warna (merah, kuning, hijau).
2.  **Berorientasi Strategis:** Fokus pada capaian target (misalnya: indeks SPBE, realisasi anggaran, atau capaian layanan publik), bukan detail operasional.
3.- **Real-time:** Menyajikan data terkini guna memantau kondisi organisasi secara langsung.
4.  **Interaktif:** Memungkinkan pimpinan melakukan *drill-down* (melihat detail dari ringkasan) jika ditemukan anomali data.
**Fungsi dalam SPBE:**
Sebagai instrumen **Monitoring dan Evaluasi (Monev)** untuk memastikan tata kelola dan layanan digital berjalan sesuai dengan rencana strategis pemerintah.</t>
        </is>
      </c>
      <c r="G79" s="15" t="n">
        <v>100</v>
      </c>
      <c r="H79" s="15" t="n">
        <v>22.72</v>
      </c>
      <c r="I79" s="15" t="n">
        <v>4.25</v>
      </c>
      <c r="J79" s="15" t="n">
        <v>85.05</v>
      </c>
      <c r="K79" s="15" t="n">
        <v>85.05</v>
      </c>
      <c r="L79" s="16" t="n">
        <v>0.1495</v>
      </c>
      <c r="M79" s="16" t="n">
        <v>0.1495</v>
      </c>
      <c r="N79" s="15" t="n">
        <v>14.95</v>
      </c>
      <c r="O79" s="17" t="inlineStr">
        <is>
          <t>PASSED</t>
        </is>
      </c>
      <c r="P79" s="16" t="n">
        <v>0.8505</v>
      </c>
    </row>
    <row r="80">
      <c r="A80" s="12" t="n">
        <v>72</v>
      </c>
      <c r="B80" s="13" t="inlineStr">
        <is>
          <t>Faktual</t>
        </is>
      </c>
      <c r="C80" s="13" t="inlineStr">
        <is>
          <t>google/gemma-4-26b-a4b-it:free</t>
        </is>
      </c>
      <c r="D80" s="14" t="inlineStr">
        <is>
          <t>Jelaskan secara umum konsep 'integrasi aplikasi antarinstansi'.</t>
        </is>
      </c>
      <c r="E80" s="14" t="inlineStr">
        <is>
          <t>Menghubungkan aplikasi agar dapat berbagi data dan fungsi.</t>
        </is>
      </c>
      <c r="F80" s="14" t="inlineStr">
        <is>
          <t>Konsep **Integrasi Aplikasi Antarinstansi** dalam SPBE adalah proses menghubungkan berbagai aplikasi yang berjalan di instansi yang berbeda agar dapat saling bertukar data dan berbagi pakai layanan secara otomatis, aman, dan terstandarisasi.
**Poin Utama:**
1.  **Tujuan:** Menghilangkan ego sektoral, menghindari duplikasi aplikasi, dan mencegah redundansi data.
2.- **Prinsip:** Mengacu pada prinsip *Interoperabilitas*, yaitu kemampuan sistem yang berbeda untuk berkomunikasi dan bertukar informasi.
3.- **Mekanisme:** Menggunakan **Sistem Penghubung Layanan Pemerintah (SPLP)** sebagai bus integrasi (*middleware*) agar antarinstansi tidak perlu membangun koneksi manual satu per satu.
4.- **Output:** Terwujudnya satu data yang akurat (Satu Data Indonesia) dan layanan publik yang terpadu (tidak perlu banyak login/input data berulang).
**Dasar Regulasi:** Perpres No. 92 Tahun 2020 tentang Kementerian/Lembaga/Pemerintah Daerah sebagai Penyelenggara SPBE.</t>
        </is>
      </c>
      <c r="G80" s="15" t="n">
        <v>100</v>
      </c>
      <c r="H80" s="15" t="n">
        <v>19.01</v>
      </c>
      <c r="I80" s="15" t="n">
        <v>4.27</v>
      </c>
      <c r="J80" s="15" t="n">
        <v>85.37</v>
      </c>
      <c r="K80" s="15" t="n">
        <v>85.37</v>
      </c>
      <c r="L80" s="16" t="n">
        <v>0.1463</v>
      </c>
      <c r="M80" s="16" t="n">
        <v>0.1463</v>
      </c>
      <c r="N80" s="15" t="n">
        <v>14.63</v>
      </c>
      <c r="O80" s="17" t="inlineStr">
        <is>
          <t>PASSED</t>
        </is>
      </c>
      <c r="P80" s="16" t="n">
        <v>0.8537</v>
      </c>
    </row>
    <row r="81">
      <c r="A81" s="12" t="n">
        <v>73</v>
      </c>
      <c r="B81" s="13" t="inlineStr">
        <is>
          <t>Faktual</t>
        </is>
      </c>
      <c r="C81" s="13" t="inlineStr">
        <is>
          <t>google/gemma-4-26b-a4b-it:free</t>
        </is>
      </c>
      <c r="D81" s="14" t="inlineStr">
        <is>
          <t>Jelaskan secara umum konsep 'kompetensi teknis ASN bidang digital'.</t>
        </is>
      </c>
      <c r="E81" s="14" t="inlineStr">
        <is>
          <t>Kemampuan teknis digital yang wajib dimiliki ASN sesuai jabatan.</t>
        </is>
      </c>
      <c r="F81" s="14" t="inlineStr">
        <is>
          <t>Konsep **Kompetensi Teknis ASN Bidang Digital** adalah kemampuan spesifik yang harus dimiliki aparatur untuk mengoperasikan, mengelola, dan mengembangkan ekosistem digital pemerintah.
Berdasarkan kerangka kerja tata kelola digital, kompetensi ini mencakup empat pilar utama:
1.  **Literasi Digital:** Kemampuan menggunakan perangkat, perangkat lunak, dan platform digital secara efektif dan aman.
2._**Data Analytics:** Kemampuan mengelola, mengolah, dan menganalisis data (Big Data) untuk pengambilan kebijakan berbasis data (*data-driven policy*).
3. **Keamanan Siber (*Cybersecurity*):** Kemampuan melindungi infrastruktur informasi, data pemerintah, dan menjaga kerahasiaan serta integritas sistem dari ancaman digital.
4. **Pengembangan Infrastruktur &amp; Aplikasi:** Kemampuan teknis dalam pengelolaan infrastruktur jaringan, *cloud computing*, pengembangan perangkat lunak, serta integrasi sistem (interoperabilitas) antar instansi.
**Intinya:** Kompetensi ini bukan sekadar bisa menggunakan komputer, melainkan kemampuan teknis untuk mendukung transformasi digital melalui pengelolaan data, sistem, dan keamanan informasi yang terintegrasi.</t>
        </is>
      </c>
      <c r="G81" s="15" t="n">
        <v>100</v>
      </c>
      <c r="H81" s="15" t="n">
        <v>19.98</v>
      </c>
      <c r="I81" s="15" t="n">
        <v>4.42</v>
      </c>
      <c r="J81" s="15" t="n">
        <v>88.37</v>
      </c>
      <c r="K81" s="15" t="n">
        <v>88.37</v>
      </c>
      <c r="L81" s="16" t="n">
        <v>0.1163</v>
      </c>
      <c r="M81" s="16" t="n">
        <v>0.1163</v>
      </c>
      <c r="N81" s="15" t="n">
        <v>11.63</v>
      </c>
      <c r="O81" s="17" t="inlineStr">
        <is>
          <t>PASSED</t>
        </is>
      </c>
      <c r="P81" s="16" t="n">
        <v>0.8837</v>
      </c>
    </row>
    <row r="82">
      <c r="A82" s="12" t="n">
        <v>74</v>
      </c>
      <c r="B82" s="13" t="inlineStr">
        <is>
          <t>Faktual</t>
        </is>
      </c>
      <c r="C82" s="13" t="inlineStr">
        <is>
          <t>google/gemma-4-26b-a4b-it:free</t>
        </is>
      </c>
      <c r="D82" s="14" t="inlineStr">
        <is>
          <t>Jelaskan secara umum konsep 'forum konsultasi publik'.</t>
        </is>
      </c>
      <c r="E82" s="14" t="inlineStr">
        <is>
          <t>Ruang temu pengguna dan penyedia layanan untuk masukan.</t>
        </is>
      </c>
      <c r="F82" s="14" t="inlineStr">
        <is>
          <t>**Forum Konsultasi Publik (FKP)** dalam konteks SPBE adalah wadah dialogis antara penyelenggara layanan publik (Pemerintah) dengan pemangku kepentingan (masyarakat, akademisi, pelaku usaha, dll) untuk mendapatkan masukan, saran, dan kritik.
**Tujuan Utama:**
1. **Transparansi:** Membuka akses informasi mengenai rancangan kebijakan atau layanan digital.
2. **Partisipasi:** Melibatkan pengguna dalam proses perencanaan, penyusunan, hingga evaluasi layanan.
3. **Akuntabilitas:** Memastikan layanan yang dibangun relevan dengan kebutuhan riil masyarakat dan meminimalisir risiko kegagalan implementasi.
**Output:** Rekomendasi perbaikan untuk menyempurnakan rancangan kebijakan atau sistem layanan elektronik agar lebih inklusif dan tepat sasaran.</t>
        </is>
      </c>
      <c r="G82" s="15" t="n">
        <v>100</v>
      </c>
      <c r="H82" s="15" t="n">
        <v>16.31</v>
      </c>
      <c r="I82" s="15" t="n">
        <v>4.31</v>
      </c>
      <c r="J82" s="15" t="n">
        <v>86.28</v>
      </c>
      <c r="K82" s="15" t="n">
        <v>86.28</v>
      </c>
      <c r="L82" s="16" t="n">
        <v>0.1372</v>
      </c>
      <c r="M82" s="16" t="n">
        <v>0.1372</v>
      </c>
      <c r="N82" s="15" t="n">
        <v>13.72</v>
      </c>
      <c r="O82" s="17" t="inlineStr">
        <is>
          <t>PASSED</t>
        </is>
      </c>
      <c r="P82" s="16" t="n">
        <v>0.8628</v>
      </c>
    </row>
    <row r="83">
      <c r="A83" s="12" t="n">
        <v>75</v>
      </c>
      <c r="B83" s="13" t="inlineStr">
        <is>
          <t>Faktual</t>
        </is>
      </c>
      <c r="C83" s="13" t="inlineStr">
        <is>
          <t>google/gemma-4-26b-a4b-it:free</t>
        </is>
      </c>
      <c r="D83" s="14" t="inlineStr">
        <is>
          <t>Jelaskan secara umum konsep 'manajemen insiden siber'.</t>
        </is>
      </c>
      <c r="E83" s="14" t="inlineStr">
        <is>
          <t>Proses mendeteksi, merespons, dan memulihkan dari insiden siber.</t>
        </is>
      </c>
      <c r="F83" s="14" t="inlineStr">
        <is>
          <t>**Manajemen Insiden Siber** adalah proses sistematis untuk mendeteksi, merespons, dan memulihkan diri dari serangan atau gangguan keamanan siber guna meminimalkan dampak negatif terhadap aset informasi dan layanan pemerintah.
Dalam konteks SPBE, konsep ini mencakup empat tahapan utama:
1.  **Persiapan (*Preparation*):** Pembentukan tim respon (seperti CSIRT), penyusunan SOP, dan penyediaan alat deteksi.
2.eks **Deteksi &amp; Analisis (*Detection &amp; Analysis*):** Mengidentifikasi aktivitas mencurigakan dan menentukan tingkat keparahan insiden.
3.  **Penahanan, Penghapusan, &amp; Pemulihan (*Containment, Eradication, &amp; Recovery*):** Mengisolasi sistem yang terinfeksi, menghapus penyebab serangan, dan mengembalikan layanan ke kondisi normal.
4.est **Pasca-Insiden (*Post-Incident Activity*):** Evaluasi melalui *Lesson Learned* untuk memperkuat pertahanan di masa mendatang.
**Tujuan Utama:** Menjaga keberlangsungan layanan publik (ketersediaan), kerahasiaan data, dan integritas sistem informasi pemerintah.</t>
        </is>
      </c>
      <c r="G83" s="15" t="n">
        <v>100</v>
      </c>
      <c r="H83" s="15" t="n">
        <v>18.32</v>
      </c>
      <c r="I83" s="15" t="n">
        <v>4.46</v>
      </c>
      <c r="J83" s="15" t="n">
        <v>89.25</v>
      </c>
      <c r="K83" s="15" t="n">
        <v>89.25</v>
      </c>
      <c r="L83" s="16" t="n">
        <v>0.1075</v>
      </c>
      <c r="M83" s="16" t="n">
        <v>0.1075</v>
      </c>
      <c r="N83" s="15" t="n">
        <v>10.75</v>
      </c>
      <c r="O83" s="17" t="inlineStr">
        <is>
          <t>PASSED</t>
        </is>
      </c>
      <c r="P83" s="16" t="n">
        <v>0.8925</v>
      </c>
    </row>
    <row r="84">
      <c r="A84" s="12" t="n">
        <v>76</v>
      </c>
      <c r="B84" s="13" t="inlineStr">
        <is>
          <t>Evaluatif</t>
        </is>
      </c>
      <c r="C84" s="13" t="inlineStr">
        <is>
          <t>google/gemma-4-26b-a4b-it:free</t>
        </is>
      </c>
      <c r="D84" s="14" t="inlineStr">
        <is>
          <t>Sejauh mana efektivitas manajemen perubahan dalam mendukung keberhasilan transformasi digital instansi?</t>
        </is>
      </c>
      <c r="E84" s="14" t="inlineStr">
        <is>
          <t>Manajemen perubahan menentukan keberhasilan adopsi sistem digital oleh organisasi.</t>
        </is>
      </c>
      <c r="F84" s="14" t="inlineStr">
        <is>
          <t>Manajemen perubahan adalah **faktor penentu (critical success factor)** dalam transformasi digital. Tanpa manajemen perubahan, teknologi hanya akan menjadi alat tanpa perubahan budaya kerja.
Efektivitasnya mencakup tiga aspek utama:
1.  **Mitigasi Resistensi:** Mengubah pola pikir (*mindset*) dan budaya kerja dari manual/birokratis ke digital/berbasis data, sehingga mengurangi penolakan pegawai terhadap sistem baru.
2._**Optimalisasi Adopsi Teknologi:** Memastikan infrastruktur dan aplikasi SPBE yang dibangun benar-benar digunakan secara optimal (*user adoption*), bukan sekadar menjadi aset digital yang mangkrak.
3.**Keberlanjutan (Sustainability):** Menjamin transformasi tidak berhenti pada pengadaan alat, tetapi menjadi standar operasional baru yang terintegrasi dalam tata kelola organisasi.
**Kesimpulan:** Teknologi hanyalah enabler; efektivitas transformasi digital sangat bergantung pada kesiapan SDM dan perubahan budaya kerja yang dikelola melalui manajemen perubahan yang terstruktur.</t>
        </is>
      </c>
      <c r="G84" s="15" t="n">
        <v>100</v>
      </c>
      <c r="H84" s="15" t="n">
        <v>47.46</v>
      </c>
      <c r="I84" s="15" t="n">
        <v>4.43</v>
      </c>
      <c r="J84" s="15" t="n">
        <v>88.69</v>
      </c>
      <c r="K84" s="15" t="n">
        <v>88.69</v>
      </c>
      <c r="L84" s="16" t="n">
        <v>0.1131</v>
      </c>
      <c r="M84" s="16" t="n">
        <v>0.1131</v>
      </c>
      <c r="N84" s="15" t="n">
        <v>11.31</v>
      </c>
      <c r="O84" s="17" t="inlineStr">
        <is>
          <t>PASSED</t>
        </is>
      </c>
      <c r="P84" s="16" t="n">
        <v>0.8869</v>
      </c>
    </row>
    <row r="85">
      <c r="A85" s="12" t="n">
        <v>77</v>
      </c>
      <c r="B85" s="13" t="inlineStr">
        <is>
          <t>Analisis</t>
        </is>
      </c>
      <c r="C85" s="13" t="inlineStr">
        <is>
          <t>google/gemma-4-26b-a4b-it:free</t>
        </is>
      </c>
      <c r="D85" s="14" t="inlineStr">
        <is>
          <t>Apa perbedaan antara interoperabilitas data dan integrasi aplikasi dalam mewujudkan keterpaduan layanan digital pemerintah?</t>
        </is>
      </c>
      <c r="E85" s="14" t="inlineStr">
        <is>
          <t>Interoperabilitas data berfokus pada pertukaran data, sedangkan integrasi aplikasi berfokus pada keterhubungan antar aplikasi.</t>
        </is>
      </c>
      <c r="F85" s="14" t="inlineStr">
        <is>
          <t>Perbedaan utama keduanya terletak pada **objek** dan **mekanisme** kerja dalam kerangka SPBE:
**1. Interoperabilitas Data**
*   **Fokus:** Pertukaran data antar sistem.
*   **Inti:** Kemampuan sistem informasi yang berbeda untuk saling berkomunikasi, berbagi, dan menggunakan data secara bersama (data dapat dibaca dan dipahami oleh sistem lain).
*   - **Tujuan:** Menghilangkan silo data (data yang terfragmentasi).
*   - **Contoh:** Satu NIK dapat digunakan untuk mengakses data di berbagai instansi berbeda tanpa perlu input ulang.
**2. Integrasi Aplikasi**
*   **Fokus:** Penyatuan fungsi atau alur kerja antar aplikasi.
*   **Inti:** Menghubungkan berbagai aplikasi agar bekerja sebagai satu kesatuan proses bisnis (melalui API atau *middleware*).
*   **- Tujuan:** Efisi-ensi proses bisnis digital agar pengguna tidak perlu berpindah-pindah platform untuk menyelesaikan satu rangkaian layanan.
*   **Contoh:** Aplikasi perizinan yang secara otomatis terhubung dengan aplikasi pembayaran pajak dan aplikasi kependudukan dalam satu alur kerja.
**Ringkasan Perbedaan:**
*   **Interoperabilitas Data** memastikan **informasinya** dapat mengalir.
*   **Integrasi Aplikasi** memastikan **proses/layanannya** dapat menyatu.</t>
        </is>
      </c>
      <c r="G85" s="15" t="n">
        <v>100</v>
      </c>
      <c r="H85" s="15" t="n">
        <v>30.14</v>
      </c>
      <c r="I85" s="15" t="n">
        <v>4.39</v>
      </c>
      <c r="J85" s="15" t="n">
        <v>87.84</v>
      </c>
      <c r="K85" s="15" t="n">
        <v>87.84</v>
      </c>
      <c r="L85" s="16" t="n">
        <v>0.1216</v>
      </c>
      <c r="M85" s="16" t="n">
        <v>0.1216</v>
      </c>
      <c r="N85" s="15" t="n">
        <v>12.16</v>
      </c>
      <c r="O85" s="17" t="inlineStr">
        <is>
          <t>PASSED</t>
        </is>
      </c>
      <c r="P85" s="16" t="n">
        <v>0.8784</v>
      </c>
    </row>
    <row r="86">
      <c r="A86" s="12" t="n">
        <v>78</v>
      </c>
      <c r="B86" s="13" t="inlineStr">
        <is>
          <t>Faktual</t>
        </is>
      </c>
      <c r="C86" s="13" t="inlineStr">
        <is>
          <t>google/gemma-4-26b-a4b-it:free</t>
        </is>
      </c>
      <c r="D86" s="14" t="inlineStr">
        <is>
          <t>Jelaskan secara umum konsep 'indikator kinerja utama (IKU)'.</t>
        </is>
      </c>
      <c r="E86" s="14" t="inlineStr">
        <is>
          <t>Ukuran keberhasilan pencapaian sasaran prioritas.</t>
        </is>
      </c>
      <c r="F86" s="14" t="inlineStr">
        <is>
          <t>Dalam konteks tata kelola (termasuk SPBE), **Indikator Kinerja Utama (IKU)** adalah alat ukur kuantitatif yang digunakan untuk menilai sejauh mana suatu organisasi atau instansi telah mencapai tujuan strategisnya.
**Karakteristik Utama:**
1.  **Representatif:** Mencerminkan keberhasilan pencapaian sasaran strategis.
2.- **Terukur:** Harus dapat dihitung secara objektif (berbasis data).
3.  **Target Oriented:** Memiliki nilai target yang jelas untuk dibandingkan dengan realisasi.
4. **Berbasis Hasil (Outcome):** Bukan sekadar mengukur kegiatan (output), melainkan dampak atau manfaat yang dihasilkan.
**Fungsi dalam SPBE:**
Menjadi parameter untuk mengukur tingkat kematangan, efektivitas, dan efisi-ensi implementasi layanan digital serta tata kelola pemerintahan di suatu instansi.</t>
        </is>
      </c>
      <c r="G86" s="15" t="n">
        <v>100</v>
      </c>
      <c r="H86" s="15" t="n">
        <v>20.49</v>
      </c>
      <c r="I86" s="15" t="n">
        <v>4.27</v>
      </c>
      <c r="J86" s="15" t="n">
        <v>85.34999999999999</v>
      </c>
      <c r="K86" s="15" t="n">
        <v>85.34999999999999</v>
      </c>
      <c r="L86" s="16" t="n">
        <v>0.1465</v>
      </c>
      <c r="M86" s="16" t="n">
        <v>0.1465</v>
      </c>
      <c r="N86" s="15" t="n">
        <v>14.65</v>
      </c>
      <c r="O86" s="17" t="inlineStr">
        <is>
          <t>PASSED</t>
        </is>
      </c>
      <c r="P86" s="16" t="n">
        <v>0.8535</v>
      </c>
    </row>
    <row r="87">
      <c r="A87" s="12" t="n">
        <v>79</v>
      </c>
      <c r="B87" s="13" t="inlineStr">
        <is>
          <t>Faktual</t>
        </is>
      </c>
      <c r="C87" s="13" t="inlineStr">
        <is>
          <t>google/gemma-4-26b-a4b-it:free</t>
        </is>
      </c>
      <c r="D87" s="14" t="inlineStr">
        <is>
          <t>Jelaskan secara umum konsep 'penilaian tingkat kematangan'.</t>
        </is>
      </c>
      <c r="E87" s="14" t="inlineStr">
        <is>
          <t>Penilaian sejauh mana praktik organisasi telah matang/terlembaga.</t>
        </is>
      </c>
      <c r="F87" s="14" t="inlineStr">
        <is>
          <t>**Penilaian Tingkat Kematangan SPBE** adalah proses pengukuran sejauh mana penerapan SPBE telah dilaksanakan di instansi pemerintah, yang dilakukan untuk mengetahui level/tingkat kematangan tata kelola, layanan, dan infrastruktur teknologi informasi.
**Poin Utama:**
1.  **Tujuan:** Mengetahui posisi (posisi saat ini), mengevaluasi efektivitas, dan menentukan target perbaikan tata kelola digital instansi.
2.- **Dasar Pengukuran:** Menggunakan indikator yang mencakup aspek Kebijakan Internal, Tata Kelola, Manajemen, Layanan, Infrastruktur, Aplikasi, dan Keamanan Informasi.
3. **Skala Penilaian:** Menggunakan skala kematangan (maturity level), umumnya dari Level 1 (Inisiasi) hingga Level 5 (Optimasi).
4. **Output:** Berupa nilai indeks yang menunjukkan sejauh mana digitalisasi pemerintah telah terintegrasi, terstandarisasi, dan berkelanjutan.</t>
        </is>
      </c>
      <c r="G87" s="15" t="n">
        <v>82.67</v>
      </c>
      <c r="H87" s="15" t="n">
        <v>20.89</v>
      </c>
      <c r="I87" s="15" t="n">
        <v>4.13</v>
      </c>
      <c r="J87" s="15" t="n">
        <v>82.67</v>
      </c>
      <c r="K87" s="15" t="n">
        <v>82.67</v>
      </c>
      <c r="L87" s="16" t="n">
        <v>0.1733</v>
      </c>
      <c r="M87" s="16" t="n">
        <v>0.1733</v>
      </c>
      <c r="N87" s="15" t="n">
        <v>17.33</v>
      </c>
      <c r="O87" s="18" t="inlineStr">
        <is>
          <t>FAILED</t>
        </is>
      </c>
      <c r="P87" s="16" t="n">
        <v>0.8267</v>
      </c>
    </row>
    <row r="88">
      <c r="A88" s="12" t="n">
        <v>80</v>
      </c>
      <c r="B88" s="13" t="inlineStr">
        <is>
          <t>Faktual</t>
        </is>
      </c>
      <c r="C88" s="13" t="inlineStr">
        <is>
          <t>google/gemma-4-26b-a4b-it:free</t>
        </is>
      </c>
      <c r="D88" s="14" t="inlineStr">
        <is>
          <t>Jelaskan secara umum konsep 'transformasi tata kelola pelayanan publik'.</t>
        </is>
      </c>
      <c r="E88" s="14" t="inlineStr">
        <is>
          <t>Perubahan menyeluruh tata kelola agar layanan lebih baik.</t>
        </is>
      </c>
      <c r="F88" s="14" t="inlineStr">
        <is>
          <t>Transformasi tata kelola pelayanan publik dalam konteks SPBE adalah **perubahan paradigma pelayanan dari berbasis proses manual/birokrasi sektoral menjadi berbasis digital yang terintegrasi, efisien, dan berorientasi pada pengguna (*user-centric*).**
Konsep ini mencakup tiga pilar utama:
1.- **Digitalisasi Proses:** Mengubah prosedur manual menjadi alur kerja digital yang otomatis dan terukur.
2.- **Integrasi Data &amp; Layanan:** Menghapus silo data (ego sektoral) melalui interoperabilitas sistem agar layanan dapat diakses secara terpadu (tidak terfragmentasi).
3- **Penyederhanaan Birokrasi:** Mengurangi kompleksitas birokrasi melalui pemanfaagean teknologi untuk mempercepat waktu, biaya, dan meningkatkan transparansi pelayanan.
**Intinya:** Mengubah cara pemerintah bekerja dari "melayani dengan cara lama yang terkotak-kotak" menjadi "memberikan layanan yang cepat, mudah, dan terpadu melalui ekosistem digital."</t>
        </is>
      </c>
      <c r="G88" s="15" t="n">
        <v>84.05</v>
      </c>
      <c r="H88" s="15" t="n">
        <v>21.31</v>
      </c>
      <c r="I88" s="15" t="n">
        <v>4.2</v>
      </c>
      <c r="J88" s="15" t="n">
        <v>84.05</v>
      </c>
      <c r="K88" s="15" t="n">
        <v>84.05</v>
      </c>
      <c r="L88" s="16" t="n">
        <v>0.1595</v>
      </c>
      <c r="M88" s="16" t="n">
        <v>0.1595</v>
      </c>
      <c r="N88" s="15" t="n">
        <v>15.95</v>
      </c>
      <c r="O88" s="18" t="inlineStr">
        <is>
          <t>FAILED</t>
        </is>
      </c>
      <c r="P88" s="16" t="n">
        <v>0.8405</v>
      </c>
    </row>
    <row r="89">
      <c r="A89" s="12" t="n">
        <v>81</v>
      </c>
      <c r="B89" s="13" t="inlineStr">
        <is>
          <t>Faktual</t>
        </is>
      </c>
      <c r="C89" s="13" t="inlineStr">
        <is>
          <t>google/gemma-4-26b-a4b-it:free</t>
        </is>
      </c>
      <c r="D89" s="14" t="inlineStr">
        <is>
          <t>Jelaskan secara umum konsep 'ekosistem pusat data nasional'.</t>
        </is>
      </c>
      <c r="E89" s="14" t="inlineStr">
        <is>
          <t>Kumpulan fasilitas pusat data terkonsolidasi tingkat nasional.</t>
        </is>
      </c>
      <c r="F89" s="14" t="inlineStr">
        <is>
          <t>Konsep **Ekosistem Pusat Data Nasional (PDN)** adalah integrasi infrastruktur, platform, dan layanan digital pemerintah yang terpusat untuk mendukung transformasi digital nasional.
Berikut adalah inti konsepnya:
1.  **Konsolidasi Infrastruktur:** Pengalihan penggunaan pusat data milik masing-masing instansi (fragmentasi) ke satu infrastruktur terpadu (PDN) guna efisiensi anggaran dan optimalisasi sumber daya.
2.- **Interoperabilitas:** Menjamin pertukaran data antar-instansi pemerintah berjalan lancar melalui standarisasi konektivitas dan protokol komunikasi.
3.- **Keamanan Siber Terpadu:** Implementasi standar keamanan informasi yang seragam dan terpusat untuk melindungi aset data negara dari ancaman siber.
4- **Layanan Berbagi Pakai:** Menyediakan layanan cloud, penyimpanan, dan aplikasi secara terpusat yang dapat digunakan oleh seluruh instansi pemerintah (Pusat maupun Daerah).
**Tujuan Utama:** Mewujudkan efisiensi biaya (hemat anggaran pengadaan perangkat/server), kemudahan integrasi data (Satu Data Indonesia), dan penguatan kedaulatan data nasional.</t>
        </is>
      </c>
      <c r="G89" s="15" t="n">
        <v>100</v>
      </c>
      <c r="H89" s="15" t="n">
        <v>22.62</v>
      </c>
      <c r="I89" s="15" t="n">
        <v>4.34</v>
      </c>
      <c r="J89" s="15" t="n">
        <v>86.79000000000001</v>
      </c>
      <c r="K89" s="15" t="n">
        <v>86.79000000000001</v>
      </c>
      <c r="L89" s="16" t="n">
        <v>0.1321</v>
      </c>
      <c r="M89" s="16" t="n">
        <v>0.1321</v>
      </c>
      <c r="N89" s="15" t="n">
        <v>13.21</v>
      </c>
      <c r="O89" s="17" t="inlineStr">
        <is>
          <t>PASSED</t>
        </is>
      </c>
      <c r="P89" s="16" t="n">
        <v>0.8679</v>
      </c>
    </row>
    <row r="90">
      <c r="A90" s="12" t="n">
        <v>82</v>
      </c>
      <c r="B90" s="13" t="inlineStr">
        <is>
          <t>Evaluatif</t>
        </is>
      </c>
      <c r="C90" s="13" t="inlineStr">
        <is>
          <t>google/gemma-4-26b-a4b-it:free</t>
        </is>
      </c>
      <c r="D90" s="14" t="inlineStr">
        <is>
          <t>Mengapa strategi penilaian perlu diintegrasikan ke dalam layanan digital?</t>
        </is>
      </c>
      <c r="E90" s="14" t="inlineStr">
        <is>
          <t>Agar penilaian berjalan secara real-time dan umpan balik perbaikan dapat diperoleh lebih cepat.</t>
        </is>
      </c>
      <c r="F90" s="14" t="inlineStr">
        <is>
          <t>Strategi penilaian perlu diintegrasikan ke dalam layanan digital karena alasan berikut:
1.  **Penjaminan Kualitas (Quality Assurance):** Memastikan layanan digital tetap berjalan sesuai standar teknis dan fungsionalitas yang ditetapkan.
2.  **Evaluasi Kematangan (Maturity Level):** Mengukur sejauh mana penerapan SPBE pada layanan tersebut telah mencapai tingkat kematangan yang diharapkan.
3.- **Perbaikan Berkelanjutan (Continuous Improvement):** Menyediakan basis data kinerja untuk mengidentifikasi celah (gap) dan melakukan perbaikan layanan secara real-time.
4. **Mitigasi Risiko:** Mendeteksi kegagalan sistem, celah keamanan, atau ketidaksesua-an proses sejak dini sebelum berdampak pada pengguna.
5. **Akuntabilitas:** Memberikan bukti objektif berbasis data terhadap efektivitas penggunaan anggaran dan pencapaian target tata kelola digital.</t>
        </is>
      </c>
      <c r="G90" s="15" t="n">
        <v>83.94</v>
      </c>
      <c r="H90" s="15" t="n">
        <v>25.43</v>
      </c>
      <c r="I90" s="15" t="n">
        <v>4.2</v>
      </c>
      <c r="J90" s="15" t="n">
        <v>83.94</v>
      </c>
      <c r="K90" s="15" t="n">
        <v>83.94</v>
      </c>
      <c r="L90" s="16" t="n">
        <v>0.1606</v>
      </c>
      <c r="M90" s="16" t="n">
        <v>0.1606</v>
      </c>
      <c r="N90" s="15" t="n">
        <v>16.06</v>
      </c>
      <c r="O90" s="18" t="inlineStr">
        <is>
          <t>FAILED</t>
        </is>
      </c>
      <c r="P90" s="16" t="n">
        <v>0.8394</v>
      </c>
    </row>
    <row r="91">
      <c r="A91" s="12" t="n">
        <v>83</v>
      </c>
      <c r="B91" s="13" t="inlineStr">
        <is>
          <t>Analisis</t>
        </is>
      </c>
      <c r="C91" s="13" t="inlineStr">
        <is>
          <t>google/gemma-4-26b-a4b-it:free</t>
        </is>
      </c>
      <c r="D91" s="14" t="inlineStr">
        <is>
          <t>Mengapa kanal umpan balik dua arah dapat meningkatkan kualitas layanan digital pemerintah dibandingkan komunikasi satu arah?</t>
        </is>
      </c>
      <c r="E91" s="14" t="inlineStr">
        <is>
          <t>Kanal umpan balik dua arah memungkinkan pengguna menyampaikan masukan dan keluhan sehingga layanan digital pemerintah</t>
        </is>
      </c>
      <c r="F91" s="14" t="inlineStr">
        <is>
          <t>Kanal umpan balik dua arah meningkatkan kualitas layanan digital pemerintah karena:
1.  **Validasi Real-Time:** Pemerintah mendapatkan data langsung mengenai efektivitas, bug, atau kendala teknis layanan saat itu juga.
2.  **Basis Pengambilan Keputusan:** Data keluhan dan saran menjadi dasar perbaikan layanan yang berbasis kebutuhan riil masyarakat (*user-centric*), bukan sekadar asumsi birokrasi.
3.ery **Peningkatan Kepercayaan (Trust):** Masyarakat merasa dilibatkan dalam proses pembangunan digital, yang meningkatkan legitimasi dan partisipasi publik.
4.  **Efisi-siensi Perbaikan:** Mempercepat deteksi masalah sebelum menjadi krisis sistemik, sehingga siklus pembaruan layanan menjadi lebih responsif dan adaptif.</t>
        </is>
      </c>
      <c r="G91" s="15" t="n">
        <v>100</v>
      </c>
      <c r="H91" s="15" t="n">
        <v>17.04</v>
      </c>
      <c r="I91" s="15" t="n">
        <v>4.53</v>
      </c>
      <c r="J91" s="15" t="n">
        <v>90.66</v>
      </c>
      <c r="K91" s="15" t="n">
        <v>90.66</v>
      </c>
      <c r="L91" s="16" t="n">
        <v>0.0934</v>
      </c>
      <c r="M91" s="16" t="n">
        <v>0.0934</v>
      </c>
      <c r="N91" s="15" t="n">
        <v>9.34</v>
      </c>
      <c r="O91" s="17" t="inlineStr">
        <is>
          <t>PASSED</t>
        </is>
      </c>
      <c r="P91" s="16" t="n">
        <v>0.9066</v>
      </c>
    </row>
    <row r="92">
      <c r="A92" s="12" t="n">
        <v>84</v>
      </c>
      <c r="B92" s="13" t="inlineStr">
        <is>
          <t>Faktual</t>
        </is>
      </c>
      <c r="C92" s="13" t="inlineStr">
        <is>
          <t>google/gemma-4-26b-a4b-it:free</t>
        </is>
      </c>
      <c r="D92" s="14" t="inlineStr">
        <is>
          <t>Jelaskan secara umum konsep 'perekaman aktivitas pemrosesan data pribadi'.</t>
        </is>
      </c>
      <c r="E92" s="14" t="inlineStr">
        <is>
          <t>Pencatatan kegiatan pemrosesan data pribadi untuk akuntabilitas.</t>
        </is>
      </c>
      <c r="F92" s="14" t="inlineStr">
        <is>
          <t>Konsep **perekaman aktivitas pemrosesan data pribadi** adalah tindakan mencatat seluruh rangkaian kegiatan yang dilakukan terhadap data pribadi secara sistematis.
Dalam kerangka tata kelola data dan keamanan informasi (termasuk implementasi SPBE), hal ini mencakup:
1.  **Objek Rekaman (Log):** Mencatat siapa (*who*), apa (*what*), kapan (*when*), di mana (*where*), dan bagaimana (*how*) data pribadi diakses, diubah, dihapus, atau dipindahkan.
2.  **Tujuan Utama:**
    *   **Akuntabilitas:** Memastikan setiap tindakan pemrosesan dapat dipertanggungjawabkan sesuai regulasi (UU Pelindungan Data Pribadi).
    *   **Auditabilitas:** Menyediakan jejak audit (*audit trail*) untuk keperluan pemeriksaan kepatuhan.
    *   **Deteksi Keamanan:** Mengidentifikasi aktivitas mencurigakan atau pelanggaran keamanan data secara dini.
3.  **Prinsip Dasar:** Rekaman harus bersifat tidak dapat diubah (*tamper-proof*), disimpan dalam jangka waktu tertentu sesuai ketentuan, dan hanya dapat diakses oleh pihak berwenang.</t>
        </is>
      </c>
      <c r="G92" s="15" t="n">
        <v>100</v>
      </c>
      <c r="H92" s="15" t="n">
        <v>7.29</v>
      </c>
      <c r="I92" s="15" t="n">
        <v>4.38</v>
      </c>
      <c r="J92" s="15" t="n">
        <v>87.55</v>
      </c>
      <c r="K92" s="15" t="n">
        <v>87.55</v>
      </c>
      <c r="L92" s="16" t="n">
        <v>0.1245</v>
      </c>
      <c r="M92" s="16" t="n">
        <v>0.1245</v>
      </c>
      <c r="N92" s="15" t="n">
        <v>12.45</v>
      </c>
      <c r="O92" s="17" t="inlineStr">
        <is>
          <t>PASSED</t>
        </is>
      </c>
      <c r="P92" s="16" t="n">
        <v>0.8754999999999999</v>
      </c>
    </row>
    <row r="93">
      <c r="A93" s="12" t="n">
        <v>85</v>
      </c>
      <c r="B93" s="13" t="inlineStr">
        <is>
          <t>Faktual</t>
        </is>
      </c>
      <c r="C93" s="13" t="inlineStr">
        <is>
          <t>google/gemma-4-26b-a4b-it:free</t>
        </is>
      </c>
      <c r="D93" s="14" t="inlineStr">
        <is>
          <t>Jelaskan secara umum konsep 'penilaian dampak pelindungan data (DPIA)'.</t>
        </is>
      </c>
      <c r="E93" s="14" t="inlineStr">
        <is>
          <t>Analisis risiko pemrosesan data pribadi sebelum dijalankan.</t>
        </is>
      </c>
      <c r="F93" s="14" t="inlineStr">
        <is>
          <t>**Data Protection Impact Assessment (DPIA)** atau Penilaian Dampak Pelindungan Data adalah proses sistematis untuk mengidentifikasi, menganalisis, dan memitigasi risiko terhadap hak-hak subjek data akibat pemrosesan data pribadi.
**Inti Konsep:**
1.  **Tujuan:** Menilai risiko privasi sebelum suatu sistem atau pemrosesan data baru diterapkan (prinsip *Privacy by Design*).
2.- **Fokus:** Mengukur sejauh mana pemrosesan data dapat menimbulkan kerugian (seperti kebocoran, penyalahgunaan, atau profil ilegal) bagi individu.
3.- **Output:** Rekomendasi langkah mitigasi teknis dan organisasional untuk meminimalkan risiko tersebut.
4.- **Landasan (Indonesia):** Selaras dengan mandat **UU No. 27 Tahun 2022 tentang Pelindungan Data Pribadi (UU PDP)**, di mana pengendali data wajib melakukan penilaian dampak jika pemrosesan data memiliki risiko tinggi terhadap subjek data.</t>
        </is>
      </c>
      <c r="G93" s="15" t="n">
        <v>100</v>
      </c>
      <c r="H93" s="15" t="n">
        <v>25.3</v>
      </c>
      <c r="I93" s="15" t="n">
        <v>4.34</v>
      </c>
      <c r="J93" s="15" t="n">
        <v>86.72</v>
      </c>
      <c r="K93" s="15" t="n">
        <v>86.72</v>
      </c>
      <c r="L93" s="16" t="n">
        <v>0.1328</v>
      </c>
      <c r="M93" s="16" t="n">
        <v>0.1328</v>
      </c>
      <c r="N93" s="15" t="n">
        <v>13.28</v>
      </c>
      <c r="O93" s="17" t="inlineStr">
        <is>
          <t>PASSED</t>
        </is>
      </c>
      <c r="P93" s="16" t="n">
        <v>0.8672</v>
      </c>
    </row>
    <row r="94">
      <c r="A94" s="12" t="n">
        <v>86</v>
      </c>
      <c r="B94" s="13" t="inlineStr">
        <is>
          <t>Analisis</t>
        </is>
      </c>
      <c r="C94" s="13" t="inlineStr">
        <is>
          <t>google/gemma-4-26b-a4b-it:free</t>
        </is>
      </c>
      <c r="D94" s="14" t="inlineStr">
        <is>
          <t>Apa hubungan antara literasi digital ASN dengan pencapaian tingkat kematangan pada indikator Sumber Daya Manusia Pemdi?</t>
        </is>
      </c>
      <c r="E94" s="14" t="inlineStr">
        <is>
          <t>Literasi digital yang rendah membatasi kemampuan ASN dalam mengoperasikan dan mengembangkan sistem digital secara optimal</t>
        </is>
      </c>
      <c r="F94" s="14" t="inlineStr">
        <is>
          <t>Hubungan antara literasi digital ASN dengan tingkat kematangan indikator Sumber Daya Manusia (SDM) dalam SPBE adalah **hubungan kausalitas langsung (sebab-akibat).**
Berikut adalah poin-poin intinya:
1.  **Kompetensi sebagai Syarat Utama:** Tingkat kematangan SDM diukur dari kemampuan ASN dalam mengoperasikan, mengelola, dan memanfaatkan teknologi informasi untuk layanan publik. Literasi digital adalah fondasi kompetensi tersebut.
2.ze **Pendorong Transformasi:** Semakin tinggi literasi digital ASN, semakin tinggi kemampuan mereka dalam menjalankan proses bisnis berbasis elektronik, yang secara langsung meningkatkan skor pada domain SDM dalam evaluasi SPBE.
3.  **Mitigasi Risiko:** Literasi digital yang tinggi meminimalkan kesalahan operasional dan risiko keamanan siber, yang merupakan parameter penting dalam kematangan tata kelola digital.
4.  **Indikator Keberhasilan:** Tanpa literasi digital yang memadai, infrastruktur dan aplikasi (aspek teknis) tidak akan memberikan nilai tambah, sehingga kematangan SDM akan tetap rendah meskipun teknologi sudah canggaps.
**Kesimpulan:** Literasi digital adalah **variabel penentu** yang secara langsung menentukan nilai/skor kematangan pada indikator SDM dalam penilaian SPBE.</t>
        </is>
      </c>
      <c r="G94" s="15" t="n">
        <v>100</v>
      </c>
      <c r="H94" s="15" t="n">
        <v>42.89</v>
      </c>
      <c r="I94" s="15" t="n">
        <v>4.46</v>
      </c>
      <c r="J94" s="15" t="n">
        <v>89.22</v>
      </c>
      <c r="K94" s="15" t="n">
        <v>89.22</v>
      </c>
      <c r="L94" s="16" t="n">
        <v>0.1078</v>
      </c>
      <c r="M94" s="16" t="n">
        <v>0.1078</v>
      </c>
      <c r="N94" s="15" t="n">
        <v>10.78</v>
      </c>
      <c r="O94" s="17" t="inlineStr">
        <is>
          <t>PASSED</t>
        </is>
      </c>
      <c r="P94" s="16" t="n">
        <v>0.8922</v>
      </c>
    </row>
    <row r="95">
      <c r="A95" s="12" t="n">
        <v>87</v>
      </c>
      <c r="B95" s="13" t="inlineStr">
        <is>
          <t>Ekstraksi</t>
        </is>
      </c>
      <c r="C95" s="13" t="inlineStr">
        <is>
          <t>google/gemma-4-26b-a4b-it:free</t>
        </is>
      </c>
      <c r="D95" s="14" t="inlineStr">
        <is>
          <t>Sebutkan tiga komponen utama yang umumnya menjadi fokus dalam transformasi Pemerintah Digital.</t>
        </is>
      </c>
      <c r="E95" s="14" t="inlineStr">
        <is>
          <t>Manusia (People / Culture), Proses (Process / Governance), Teknologi (Technology) yang harus berjalan selaras.</t>
        </is>
      </c>
      <c r="F95" s="14" t="inlineStr">
        <is>
          <t>Tiga komponen utama dalam transformasi Pemerintah Digital adalah:
1.  **Tata Kelola (Governance):** Kebijakan, regulasi, standar, dan struktur organisasi untuk mengatur penyelenggaraan SPBE.
2.  **Proses Bisnis (Business Process):** Digitalisasi dan integrasi alur kerja serta layanan pemerintah agar lebih efisien dan terhubung.
3.  **Teknologi Informasi (Technology):** Infrastruktur digital, platform berbagi pakai, data, keamanan siber, dan aplikasi pendukung.</t>
        </is>
      </c>
      <c r="G95" s="15" t="n">
        <v>100</v>
      </c>
      <c r="H95" s="15" t="n">
        <v>5.37</v>
      </c>
      <c r="I95" s="15" t="n">
        <v>4.45</v>
      </c>
      <c r="J95" s="15" t="n">
        <v>89</v>
      </c>
      <c r="K95" s="15" t="n">
        <v>89</v>
      </c>
      <c r="L95" s="16" t="n">
        <v>0.11</v>
      </c>
      <c r="M95" s="16" t="n">
        <v>0.11</v>
      </c>
      <c r="N95" s="15" t="n">
        <v>11</v>
      </c>
      <c r="O95" s="17" t="inlineStr">
        <is>
          <t>PASSED</t>
        </is>
      </c>
      <c r="P95" s="16" t="n">
        <v>0.89</v>
      </c>
    </row>
    <row r="96">
      <c r="A96" s="12" t="n">
        <v>88</v>
      </c>
      <c r="B96" s="13" t="inlineStr">
        <is>
          <t>Faktual</t>
        </is>
      </c>
      <c r="C96" s="13" t="inlineStr">
        <is>
          <t>google/gemma-4-26b-a4b-it:free</t>
        </is>
      </c>
      <c r="D96" s="14" t="inlineStr">
        <is>
          <t>Bagaimana Tim Asesor Eksternal memverifikasi hasil Penilaian Mandiri Pemdi?</t>
        </is>
      </c>
      <c r="E96" s="14" t="inlineStr">
        <is>
          <t>Tim Asesor Eksternal menilai dokumen, melakukan interviu, dan visitasi untuk memverifikasi hasil Penilaian Mandiri.</t>
        </is>
      </c>
      <c r="F96" s="14" t="inlineStr">
        <is>
          <t>Tim Asesor Eksternal memverifikasi hasil Penilaian Mandiri Pemerintah Daerah (Pemda) melalui metode **Uji Petik (Sampling Verification)** yang mencakup tiga aspek utama:
1.- **Verifikasi Dokumen (Documentary Evidence):** Memeriksa keabsahan dan kesesuaan bukti dukung (regulasi, SK, laporan, atau sistem) yang diunggah Pemda dengan indikator yang diklaim dalam kuesioner.
2. **Verifikasi Lapangan/Wawancara (Field Audit/Interview):** Melakukan wawancara dengan pejabat pengelola SPBE (diskominfo/organisasi perangkat daerah) dan melakukan observasi langsung terhadap implementasi sistem/aplikasi untuk memastikan data di aplikasi sesuai dengan realita di lapangan.
3.- **Validasi Data (Data Validation):** Melakukan kroscek antara klaim tingkat kematangan (*maturity level*) yang diinput oleh Pemda dengan bukti fisik serta dampak nyata dari penerapan SPBE di daerah tersebut.
**Intinya:** Asesor memastikan bahwa apa yang dilaporkan secara mandiri oleh Pemda bukan sekadar formalitas, melainkan benar-benar telah diimplementasikan dan memiliki dasar hukum yang sah.</t>
        </is>
      </c>
      <c r="G96" s="15" t="n">
        <v>100</v>
      </c>
      <c r="H96" s="15" t="n">
        <v>28.61</v>
      </c>
      <c r="I96" s="15" t="n">
        <v>4.4</v>
      </c>
      <c r="J96" s="15" t="n">
        <v>88.08</v>
      </c>
      <c r="K96" s="15" t="n">
        <v>88.08</v>
      </c>
      <c r="L96" s="16" t="n">
        <v>0.1192</v>
      </c>
      <c r="M96" s="16" t="n">
        <v>0.1192</v>
      </c>
      <c r="N96" s="15" t="n">
        <v>11.92</v>
      </c>
      <c r="O96" s="17" t="inlineStr">
        <is>
          <t>PASSED</t>
        </is>
      </c>
      <c r="P96" s="16" t="n">
        <v>0.8808</v>
      </c>
    </row>
    <row r="97">
      <c r="A97" s="12" t="n">
        <v>89</v>
      </c>
      <c r="B97" s="13" t="inlineStr">
        <is>
          <t>Faktual</t>
        </is>
      </c>
      <c r="C97" s="13" t="inlineStr">
        <is>
          <t>google/gemma-4-26b-a4b-it:free</t>
        </is>
      </c>
      <c r="D97" s="14" t="inlineStr">
        <is>
          <t>Apa indikator untuk menilai kompetensi digital ASN dalam layanan digital pemerintah?</t>
        </is>
      </c>
      <c r="E97" s="14" t="inlineStr">
        <is>
          <t>Kompetensi digital ASN meliputi literasi digital, pemanfaatan sistem, pengelolaan data, keamanan digital, kolaborasi digital, etika, dan adaptasi teknologi.</t>
        </is>
      </c>
      <c r="F97" s="14" t="inlineStr">
        <is>
          <t>Berdasarkan kerangka kerja literasi digital dan standar kompetensi teknis dalam tata kelola SPBE, indikator kompetensi digital ASN dinilai melalui empat pilar utama:
1.  **Digital Skills (Kecakapan Digital):** Kemampuan mengoperasikan perangkat keras, perangkat lunak, sistem operasi, dan aplikasi perkantoran/layanan publik secara efektif.
2.- **Digital Culture (Budaya Digital):** Kemampuan membangun wawasan kebangsaan, etika, dan nilai-nilai Pancasila dalam berinteraksi di ruang digital pemerintah.
3. **Digital Ethics (Etika Digital):** Kemampuan menerapkan tata krama, netiket, dan tanggung jawab dalam berkomunikasi serta bertransaksi di platform digital.
4. **Digital Safety (Keamanan Digital):** Kemampuan melindungi data pribadi, data instansi, serta memahami ancaman siber (seperti *phishing* atau *malware*) untuk menjaga keamanan informasi negara.
**Indikator Operasional (Key Performance Indicators):**
*   **Literasi Data:** Kemampuan mengolah, menganalisis, dan menggunakan data untuk pengambilan keputusan.
*   **Kolaborasi Digital:** Kemampuan menggunakan platform kerja kolaboratif (cloud, manajemen proyek digital).
*   **Kepatuhan Keamanan Informasi:** Tingkat kepatuhan terhadap protokol keamanan informasi (ISO 27001/Indeks KAMI).</t>
        </is>
      </c>
      <c r="G97" s="15" t="n">
        <v>100</v>
      </c>
      <c r="H97" s="15" t="n">
        <v>27.66</v>
      </c>
      <c r="I97" s="15" t="n">
        <v>4.51</v>
      </c>
      <c r="J97" s="15" t="n">
        <v>90.19</v>
      </c>
      <c r="K97" s="15" t="n">
        <v>90.19</v>
      </c>
      <c r="L97" s="16" t="n">
        <v>0.09810000000000001</v>
      </c>
      <c r="M97" s="16" t="n">
        <v>0.09810000000000001</v>
      </c>
      <c r="N97" s="15" t="n">
        <v>9.81</v>
      </c>
      <c r="O97" s="17" t="inlineStr">
        <is>
          <t>PASSED</t>
        </is>
      </c>
      <c r="P97" s="16" t="n">
        <v>0.9019</v>
      </c>
    </row>
    <row r="98">
      <c r="A98" s="12" t="n">
        <v>90</v>
      </c>
      <c r="B98" s="13" t="inlineStr">
        <is>
          <t>Faktual</t>
        </is>
      </c>
      <c r="C98" s="13" t="inlineStr">
        <is>
          <t>google/gemma-4-26b-a4b-it:free</t>
        </is>
      </c>
      <c r="D98" s="14" t="inlineStr">
        <is>
          <t>Bagaimana forum koordinasi Pemdi membantu kolaborasi antar unit pemerintah dan pihak eksternal?</t>
        </is>
      </c>
      <c r="E98" s="14" t="inlineStr">
        <is>
          <t>Forum koordinasi digunakan untuk pertukaran informasi, peningkatan kapasitas, dan kolaborasi antar instansi pemerintah dan pihak eksternal.</t>
        </is>
      </c>
      <c r="F98" s="14" t="inlineStr">
        <is>
          <t>Forum Koordinasi Pemerintah Digital (Pemdi) membantu kolaborasi melalui tiga mekanisme utama:
1.  **Sinkronisasi Kebijakan:** Menyelaraskan rencana kerja dan standar teknis antar unit pemerintah agar tidak terjadi duplikasi sistem/aplikasi.
2.  **Integrasi Data dan Layanan:** Menjadi wadah penyelarasan interoperabilitas data antar instansi (pusat-daerah) dan pihak eksternya.
3.- **Penyelesaian Hambatan (Problem Solving):** Menjadi platform komunikasi untuk memecahkan kendala teknis maupun regulasi dalam implementasi layanan digital secara lintas sektor.</t>
        </is>
      </c>
      <c r="G98" s="15" t="n">
        <v>100</v>
      </c>
      <c r="H98" s="15" t="n">
        <v>17.55</v>
      </c>
      <c r="I98" s="15" t="n">
        <v>4.35</v>
      </c>
      <c r="J98" s="15" t="n">
        <v>87.08</v>
      </c>
      <c r="K98" s="15" t="n">
        <v>87.08</v>
      </c>
      <c r="L98" s="16" t="n">
        <v>0.1292</v>
      </c>
      <c r="M98" s="16" t="n">
        <v>0.1292</v>
      </c>
      <c r="N98" s="15" t="n">
        <v>12.92</v>
      </c>
      <c r="O98" s="17" t="inlineStr">
        <is>
          <t>PASSED</t>
        </is>
      </c>
      <c r="P98" s="16" t="n">
        <v>0.8708</v>
      </c>
    </row>
    <row r="99">
      <c r="A99" s="12" t="n">
        <v>91</v>
      </c>
      <c r="B99" s="13" t="inlineStr">
        <is>
          <t>Faktual</t>
        </is>
      </c>
      <c r="C99" s="13" t="inlineStr">
        <is>
          <t>google/gemma-4-26b-a4b-it:free</t>
        </is>
      </c>
      <c r="D99" s="14" t="inlineStr">
        <is>
          <t>Bagaimana interoperabilitas data mempengaruhi kualitas indeks Pemdi nasional?</t>
        </is>
      </c>
      <c r="E99" s="14" t="inlineStr">
        <is>
          <t>Interoperabilitas data antar sistem memungkinkan pengukuran indeks Pemdi yang menyeluruh dan konsisten.</t>
        </is>
      </c>
      <c r="F99" s="14" t="inlineStr">
        <is>
          <t>Interoperabilitas data berpengaruh **positif dan signifikan** terhadap peningkatan Indeks SPBE nasional melalui tiga aspek utama:
1.  **Domain Data dan Informasi:** Interoperabilitas memastikan data dapat dibagikan antarinstansi secara otomatis dan akurat, yang secara langsung meningkatkan skor pada domain ini.
2.  **Efisiensi Tata Kelola:** Mengurangi duplikasi data dan fragmentasi informasi (silo data), sehingga proses pengambilan keputusan berbasis data (*data-driven policy*) menjadi lebih valid.
3.y **Integrasi Layanan:** Menjadi fondasi dalam mewujudkan Sistem Pemerintahan Berbasis Elektronik yang terpadu, di mana layanan publik dapat berjalan lintas instansi tanpa perlu input data berulang (prinsip *Once-Only Principle*).
**Kesimpulan:** Semakin tinggi tingkat interoperabilitas data (melalui keterhubungan melalui platform berbagi pakai seperti Portal Satu Data Indonesia), semakin tinggi nilai indeks SPBE pada aspek infrastruktur dan integrasi layanan.</t>
        </is>
      </c>
      <c r="G99" s="15" t="n">
        <v>100</v>
      </c>
      <c r="H99" s="15" t="n">
        <v>38.42</v>
      </c>
      <c r="I99" s="15" t="n">
        <v>4.28</v>
      </c>
      <c r="J99" s="15" t="n">
        <v>85.56999999999999</v>
      </c>
      <c r="K99" s="15" t="n">
        <v>85.56999999999999</v>
      </c>
      <c r="L99" s="16" t="n">
        <v>0.1443</v>
      </c>
      <c r="M99" s="16" t="n">
        <v>0.1443</v>
      </c>
      <c r="N99" s="15" t="n">
        <v>14.43</v>
      </c>
      <c r="O99" s="17" t="inlineStr">
        <is>
          <t>PASSED</t>
        </is>
      </c>
      <c r="P99" s="16" t="n">
        <v>0.8557</v>
      </c>
    </row>
    <row r="100">
      <c r="A100" s="12" t="n">
        <v>92</v>
      </c>
      <c r="B100" s="13" t="inlineStr">
        <is>
          <t>Faktual</t>
        </is>
      </c>
      <c r="C100" s="13" t="inlineStr">
        <is>
          <t>google/gemma-4-26b-a4b-it:free</t>
        </is>
      </c>
      <c r="D100" s="14" t="inlineStr">
        <is>
          <t>Apa metode yang digunakan untuk mengevaluasi pengelolaan data dalam Pemdi?</t>
        </is>
      </c>
      <c r="E100" s="14" t="inlineStr">
        <is>
          <t>Evaluasi pengelolaan data dilakukan melalui kuesioner untuk menilai tata kelola data, metadata, dan interoperabilitas.</t>
        </is>
      </c>
      <c r="F100" s="14" t="inlineStr">
        <is>
          <t>Metode yang digunakan untuk mengevaluasi pengelolaan data dalam penyelenggaraan SPBE adalah **Evaluasi Kematangan Tata Kelola Data**.
Evaluasi ini mengacu pada indikator tingkat kematangan (maturity level) yang mencakup aspek:
1. **Kebijakan dan Prosedur:** Ketersediaan regulasi pengelolaan data.
2. **Proses Bisnis:** Standar operasional pengelolaan data (siklus hidup data).
3. **Sumber Daya:** Ketersediaan SDM dan infrastruktur data.
4. **Teknologi:** Penggunaan alat dan sistem untuk manajemen data.
Metode ini biasanya diterapkan melalui instrumen penilaian yang selaras dengan **Peraturan Presiden No. 95 Tahun 2018 tentang SPBE** dan **Peraturan Presiden No. 39 Tahun 2019 tentang Satu Data Indonesia**.</t>
        </is>
      </c>
      <c r="G100" s="15" t="n">
        <v>100</v>
      </c>
      <c r="H100" s="15" t="n">
        <v>143.5</v>
      </c>
      <c r="I100" s="15" t="n">
        <v>4.35</v>
      </c>
      <c r="J100" s="15" t="n">
        <v>86.95</v>
      </c>
      <c r="K100" s="15" t="n">
        <v>86.95</v>
      </c>
      <c r="L100" s="16" t="n">
        <v>0.1305</v>
      </c>
      <c r="M100" s="16" t="n">
        <v>0.1305</v>
      </c>
      <c r="N100" s="15" t="n">
        <v>13.05</v>
      </c>
      <c r="O100" s="17" t="inlineStr">
        <is>
          <t>PASSED</t>
        </is>
      </c>
      <c r="P100" s="16" t="n">
        <v>0.8695000000000001</v>
      </c>
    </row>
    <row r="101">
      <c r="A101" s="12" t="n">
        <v>93</v>
      </c>
      <c r="B101" s="13" t="inlineStr">
        <is>
          <t>Faktual</t>
        </is>
      </c>
      <c r="C101" s="13" t="inlineStr">
        <is>
          <t>google/gemma-4-26b-a4b-it:free</t>
        </is>
      </c>
      <c r="D101" s="14" t="inlineStr">
        <is>
          <t>Bagaimana kriteria penilaian keamanan siber Pemdi diterapkan pada instansi pemerintah?</t>
        </is>
      </c>
      <c r="E101" s="14" t="inlineStr">
        <is>
          <t>Keamanan Pemdi dinilai melalui audit keamanan, penerapan kriptografi, dan kapabilitas penanganan insiden siber.</t>
        </is>
      </c>
      <c r="F101" s="14" t="inlineStr">
        <is>
          <t>Kriteria penilaian keamanan siber pada instansi pemerintah mengacu pada standar **Sistem Manajemen Keamanan Informasi (SMKI)** berbasis ISO/IEC 27001 yang disesuaikan dengan regulasi BSSN.
Penerapannya meliputi tiga aspek utama:
1.  **Aspek Tata Kelola (Governance):**
    *   Adanya kebijakan, prosedur, dan standar keamanan informasi yang terdokumentasi.
    *   Pembentukan tim respon insiden (CSIRT) yang terstruktur.
    *   Adanya struktur tanggung jawab (peran dan fungsi) keamanan informasi yang jelas.
2.  *Aspek Teknis (Technical):*
    *   **Perlindungan Aset:** Keamanan perangkat keras, perangkat lunak, dan jaringan.
    *   **Manajemen Kerentanan:** Rutinitasi pemindaian (*vulnerability assessment*) dan pengujian penetrasi (*penetration testing*).
    *   **Kontrol Akses:** Penerapan autentikasi berlapis (MFA) dan manajemen hak akses pengguna.
    *   **Keamanan Data:** Implementasi enkripsi pada data sensitif baik saat disimpan (*at rest*) maupun saat dikirim (*in transit*).
3.  **Aspek Operasional (Operational):**
    *   **Deteksi &amp; Respon:** Kemampuan memantau log aktivitas dan merespons insiden secara cepat.
    *   **Pemulihan (Recovery):** Ketersediaan mekanisme cadangan (*backup*) dan rencana pemulihan bencana (*Disaster Recovery Plan*).
    *   **Kepatuhan (Compliance):** Kesesua magn tingkat kematangan sesuai dengan indeks KAMI (Keamanan Informasi) yang dikeluarkan oleh BSSN.</t>
        </is>
      </c>
      <c r="G101" s="15" t="n">
        <v>100</v>
      </c>
      <c r="H101" s="15" t="n">
        <v>46.85</v>
      </c>
      <c r="I101" s="15" t="n">
        <v>4.39</v>
      </c>
      <c r="J101" s="15" t="n">
        <v>87.70999999999999</v>
      </c>
      <c r="K101" s="15" t="n">
        <v>87.70999999999999</v>
      </c>
      <c r="L101" s="16" t="n">
        <v>0.1229</v>
      </c>
      <c r="M101" s="16" t="n">
        <v>0.1229</v>
      </c>
      <c r="N101" s="15" t="n">
        <v>12.29</v>
      </c>
      <c r="O101" s="17" t="inlineStr">
        <is>
          <t>PASSED</t>
        </is>
      </c>
      <c r="P101" s="16" t="n">
        <v>0.8771</v>
      </c>
    </row>
    <row r="102">
      <c r="A102" s="12" t="n">
        <v>94</v>
      </c>
      <c r="B102" s="13" t="inlineStr">
        <is>
          <t>Faktual</t>
        </is>
      </c>
      <c r="C102" s="13" t="inlineStr">
        <is>
          <t>google/gemma-4-26b-a4b-it:free</t>
        </is>
      </c>
      <c r="D102" s="14" t="inlineStr">
        <is>
          <t>Bagaimana infrastruktur Pemdi mendukung aplikasi prioritas dan interoperabilitas?</t>
        </is>
      </c>
      <c r="E102" s="14" t="inlineStr">
        <is>
          <t>Infrastruktur Pemdi mendukung aplikasi prioritas melalui perangkat keras, perangkat lunak, dan sistem yang interoperabel.</t>
        </is>
      </c>
      <c r="F102" s="14" t="inlineStr">
        <is>
          <t>Infrastruktur Pusat Data Nasional (PDN) dan jaringan intra pemerintah mendukung aplikasi prioritas dan interoperabilitas melalui mekanisme berikut:
1.  **Sentralisasi Sumber Daya:** Menyediakan layanan *cloud computing* (IaaS, PaaS, SaaS) yang terstandarisasi untuk menampung aplikasi prioritas nasional secara efisien, aman, dan terukur.
2.  **Integrasi Data (Interoperabilitas):** Menyediakan platform integrasi yang memfasilitasi pertukaran data antar instansi pemerintah melalui API (*Application Programming Interface*) yang terstandarisasi.
3.  **Konektivitas Terpadu:** Menggunakan jaringan intra pemerintah yang aman untuk menghubungkan berbagai sistem aplikasi sehingga komunikasi data antar sistem berjalan lancar tanpa hambatan jaringan publik.
4.  **Standarisasi Layanan:** Menjamin bahwa seluruh aplikasi prioritas berjalan di atas arsitektur infrastruktur yang sama, sehingga memudahkan koordinasi, pemeliharaan, dan skalabilitas sistem.</t>
        </is>
      </c>
      <c r="G102" s="15" t="n">
        <v>100</v>
      </c>
      <c r="H102" s="15" t="n">
        <v>6.16</v>
      </c>
      <c r="I102" s="15" t="n">
        <v>4.31</v>
      </c>
      <c r="J102" s="15" t="n">
        <v>86.23999999999999</v>
      </c>
      <c r="K102" s="15" t="n">
        <v>86.23999999999999</v>
      </c>
      <c r="L102" s="16" t="n">
        <v>0.1376</v>
      </c>
      <c r="M102" s="16" t="n">
        <v>0.1376</v>
      </c>
      <c r="N102" s="15" t="n">
        <v>13.76</v>
      </c>
      <c r="O102" s="17" t="inlineStr">
        <is>
          <t>PASSED</t>
        </is>
      </c>
      <c r="P102" s="16" t="n">
        <v>0.8624000000000001</v>
      </c>
    </row>
    <row r="103">
      <c r="A103" s="12" t="n">
        <v>95</v>
      </c>
      <c r="B103" s="13" t="inlineStr">
        <is>
          <t>Faktual</t>
        </is>
      </c>
      <c r="C103" s="13" t="inlineStr">
        <is>
          <t>google/gemma-4-26b-a4b-it:free</t>
        </is>
      </c>
      <c r="D103" s="14" t="inlineStr">
        <is>
          <t>Bagaimana evaluasi kepuasan pengguna layanan digital dilakukan di instansi pemerintah?</t>
        </is>
      </c>
      <c r="E103" s="14" t="inlineStr">
        <is>
          <t>Kepuasan pengguna diukur melalui fasilitas dukungan dan pengelolaan umpan balik untuk meningkatkan layanan digital.</t>
        </is>
      </c>
      <c r="F103" s="14" t="inlineStr">
        <is>
          <t>Evaluasi kepuasan pengguna layanan digital di instansi pemerintah dilakukan melalui mekanisme berikut:
1.  **Metode Pengumpulan Data:**
    *   **Survei Digital:** Melalui kuesioner elektronik (Google Forms, Typeform, atau fitur survei internal aplikasi).
    *   **Fitur Rating/Feedback:** Menyediakan kolom ulasan atau bintang langsung di dalam aplikasi layanan.
    *   **Kotak Saran Digital:** Kanal pengaduan dan saran berbasis web atau aplikasi.
    *   **Analisis Log &amp; Data:** Memantau *bounce rate*, durasi penggunaan, dan tingkat keberhasilan transaksi pada sistem.
2.  *Standard* **Indikator Pengukuran:**
    *   **CSAT (*Customer Satisfaction Score*):** Mengukur tingkat kepuasan terhadap fitur/layanan tertentu.
    *   **CES (*Customer Effort Score*):** Mengukur kemudahan pengguna dalam menyelesaikan layanan.
    *   **NPS (*Net Promoter Score*):** Mengukur loyalitas dan kecenderungan pengguna merekomendasikan layanan.
3.  **Alur Evaluasi:**
    *   **Pengumpulan:** Data diambil secara berkala (setelah transaksi selesai).
    *   **Pengolahan:** Data diolah untuk melihat tren keluhan atau kepuasan.
    *   *Recomendation/Action Plan:* Hasil evaluasi digunakan sebagai dasar perbaikan antarmuka (UI), pengalaman pengguna (UX), atau fungsionalitas sistem dalam siklus pengembangan aplikasi.
4.  **Landasan Relevan:**
    *   Implementasi **Indeks SPBE** (khususnya domain Layanan SPBE) yang menekor efektivitas dan kemudahan akses layanan digital bagi masyarakat/ASN.</t>
        </is>
      </c>
      <c r="G103" s="15" t="n">
        <v>100</v>
      </c>
      <c r="H103" s="15" t="n">
        <v>44.38</v>
      </c>
      <c r="I103" s="15" t="n">
        <v>4.31</v>
      </c>
      <c r="J103" s="15" t="n">
        <v>86.23</v>
      </c>
      <c r="K103" s="15" t="n">
        <v>86.23</v>
      </c>
      <c r="L103" s="16" t="n">
        <v>0.1377</v>
      </c>
      <c r="M103" s="16" t="n">
        <v>0.1377</v>
      </c>
      <c r="N103" s="15" t="n">
        <v>13.77</v>
      </c>
      <c r="O103" s="17" t="inlineStr">
        <is>
          <t>PASSED</t>
        </is>
      </c>
      <c r="P103" s="16" t="n">
        <v>0.8623</v>
      </c>
    </row>
    <row r="104">
      <c r="A104" s="12" t="n">
        <v>96</v>
      </c>
      <c r="B104" s="13" t="inlineStr">
        <is>
          <t>Faktual</t>
        </is>
      </c>
      <c r="C104" s="13" t="inlineStr">
        <is>
          <t>google/gemma-4-26b-a4b-it:free</t>
        </is>
      </c>
      <c r="D104" s="14" t="inlineStr">
        <is>
          <t>Apa langkah evaluasi pemanfaatan data geospasial untuk mendukung perencanaan pemerintah?</t>
        </is>
      </c>
      <c r="E104" s="14" t="inlineStr">
        <is>
          <t>Evaluasi data geospasial memastikan data akurat, terintegrasi, dan mendukung layanan digital pemerintah.</t>
        </is>
      </c>
      <c r="F104" s="14" t="inlineStr">
        <is>
          <t>Langkah evaluasi pemanfaatan data geospasial untuk perencanaan pemerintah adalah:
1.  **Audit Ketersediaan dan Integrasi Data:** Memeriksa apakah data geospasial telah terintegrasi dalam **Kebijakan Satu Peta (One Map Policy)** dan tersedia di portal berbagi pakai (seperti portal Satu Data Indonesia).
2.  **Penilaian Relevansi dan Akurasi:** Menguji apakah data geospasial yang digunakan sesuai dengan standar teknis (geometrik dan atribut) serta mampu menjawab kebutuhan indikator dalam dokumen perencanaan (RPJP/RPJM/RKP).
3._**Analisis Ketepatan Penggunaan (Use Case):** Mengevaluasi sejauh mana data geospasial telah digunakan dalam pengambilan keputusan, seperti penentuan lokasi infrastruktur, mitigasi bencana, atau tata ruang.
4.  **Uji Integrasi Sistem:** Mengevaluasi konektivitas antara sistem informasi geografis (SIG) antar instansi untuk memastikan tidak ada duplikasi data.
5.  **Audit Kualitas dan Pemutakhiran:** Memastikan data yang digunakan adalah data terkini (*up-to-date*) dan memenuhi standar interoperabilitas sesuai regulasi Badan Informasi Geospasial (BIG).</t>
        </is>
      </c>
      <c r="G104" s="15" t="n">
        <v>100</v>
      </c>
      <c r="H104" s="15" t="n">
        <v>44.83</v>
      </c>
      <c r="I104" s="15" t="n">
        <v>4.41</v>
      </c>
      <c r="J104" s="15" t="n">
        <v>88.25</v>
      </c>
      <c r="K104" s="15" t="n">
        <v>88.25</v>
      </c>
      <c r="L104" s="16" t="n">
        <v>0.1175</v>
      </c>
      <c r="M104" s="16" t="n">
        <v>0.1175</v>
      </c>
      <c r="N104" s="15" t="n">
        <v>11.75</v>
      </c>
      <c r="O104" s="17" t="inlineStr">
        <is>
          <t>PASSED</t>
        </is>
      </c>
      <c r="P104" s="16" t="n">
        <v>0.8825</v>
      </c>
    </row>
    <row r="105">
      <c r="A105" s="12" t="n">
        <v>97</v>
      </c>
      <c r="B105" s="13" t="inlineStr">
        <is>
          <t>Faktual</t>
        </is>
      </c>
      <c r="C105" s="13" t="inlineStr">
        <is>
          <t>google/gemma-4-26b-a4b-it:free</t>
        </is>
      </c>
      <c r="D105" s="14" t="inlineStr">
        <is>
          <t>Bagaimana tata kelola statistik sektoral digunakan untuk mendukung laporan nasional?</t>
        </is>
      </c>
      <c r="E105" s="14" t="inlineStr">
        <is>
          <t>Indikator Pembangunan Statistik memastikan unit kerja menghasilkan data akurat dan terintegrasi untuk laporan nasional.</t>
        </is>
      </c>
      <c r="F105" s="14" t="inlineStr">
        <is>
          <t>Tata kelola statistik sektoral mendukung laporan nasional melalui mekanisme berikut:
1.  **Integrasi Data (Satu Data Indonesia):** Statistik sektoral yang dikumpulkan oleh Kementerian/Lembaga/Pemerintah Daerah dikumpulkan dan disinkronkan ke dalam portal data nasional sesuai standar data, metadata, dan interoperabilitas yang ditetapkan.
2.  **Standardisasi Metadata:** Penggunaan metadata yang seragam memastikan data dari berbagai sektor dapat dibandingkan (*comparable*) dan digabungkan untuk membentuk indikator nasional.
3., **Alur Kerja Satu Pintu:** Badan Pusat Statistik (BPS) bertindak sebagai pembina data yang melakukan validasi dan verifikasi terhadap data sektoral sebelum diintegrasikan menjadi laporan statistik nasional.
4.  **Penyusunan Indikator Nasional:** Data sektoral yang telah tervalidasi menjadi bahan baku utama penyusunan indikator makro (seperti angka kemiskinan, pertumbuhan ekonomi, dll) yang digunakan dalam laporan pembangunan nasional (seperti RPJMN/RPJMD).
**Intinya:** Statistik sektoral adalah **input data** yang dikelola melalui prinsip **Satu Data Indonesia** untuk menghasilkan **output laporan nasional** yang akurat, konsisten, dan dapat dipertanggungjawabkan.</t>
        </is>
      </c>
      <c r="G105" s="15" t="n">
        <v>100</v>
      </c>
      <c r="H105" s="15" t="n">
        <v>29.67</v>
      </c>
      <c r="I105" s="15" t="n">
        <v>4.36</v>
      </c>
      <c r="J105" s="15" t="n">
        <v>87.17</v>
      </c>
      <c r="K105" s="15" t="n">
        <v>87.17</v>
      </c>
      <c r="L105" s="16" t="n">
        <v>0.1283</v>
      </c>
      <c r="M105" s="16" t="n">
        <v>0.1283</v>
      </c>
      <c r="N105" s="15" t="n">
        <v>12.83</v>
      </c>
      <c r="O105" s="17" t="inlineStr">
        <is>
          <t>PASSED</t>
        </is>
      </c>
      <c r="P105" s="16" t="n">
        <v>0.8717</v>
      </c>
    </row>
    <row r="106">
      <c r="A106" s="12" t="n">
        <v>98</v>
      </c>
      <c r="B106" s="13" t="inlineStr">
        <is>
          <t>Faktual</t>
        </is>
      </c>
      <c r="C106" s="13" t="inlineStr">
        <is>
          <t>google/gemma-4-26b-a4b-it:free</t>
        </is>
      </c>
      <c r="D106" s="14" t="inlineStr">
        <is>
          <t>Apa tujuan prosedur reviu Arsitektur Pemdi?</t>
        </is>
      </c>
      <c r="E106" s="14" t="inlineStr">
        <is>
          <t>Reviu Arsitektur Pemdi dilakukan untuk memastikan transformasi digital berjalan terpadu sesuai pedoman.</t>
        </is>
      </c>
      <c r="F106" s="14" t="inlineStr">
        <is>
          <t>Tujuan prosedur reviu Arsitektur Pemda adalah:
1. **Menjamin Keselarasan:** Memastikan arsitektur selaras dengan Arsitektur SPBE Nasional dan Rencana Induk SPBE daerah.
2. **Validasi Kualitas:** Memastikan desain arsitektur (proses bisnis, data, aplikasi, infrastruktur, keamanan, dan layanan) akurat, lengkap, dan konsisten.
3. **Mitigasi Risiko:** Mendeteksi ketidaksesuaan atau celah sebelum arsitektur diimplementasikan dalam pembangunan sistem informasi.
4. **Kepatuhan Regulasi:** Memastikan tata kelola sesuai dengan standar teknis dan regulasi SPBE yang berlaku.</t>
        </is>
      </c>
      <c r="G106" s="15" t="n">
        <v>100</v>
      </c>
      <c r="H106" s="15" t="n">
        <v>17.48</v>
      </c>
      <c r="I106" s="15" t="n">
        <v>4.45</v>
      </c>
      <c r="J106" s="15" t="n">
        <v>89.06</v>
      </c>
      <c r="K106" s="15" t="n">
        <v>89.06</v>
      </c>
      <c r="L106" s="16" t="n">
        <v>0.1094</v>
      </c>
      <c r="M106" s="16" t="n">
        <v>0.1094</v>
      </c>
      <c r="N106" s="15" t="n">
        <v>10.94</v>
      </c>
      <c r="O106" s="17" t="inlineStr">
        <is>
          <t>PASSED</t>
        </is>
      </c>
      <c r="P106" s="16" t="n">
        <v>0.8905999999999999</v>
      </c>
    </row>
    <row r="107">
      <c r="A107" s="12" t="n">
        <v>99</v>
      </c>
      <c r="B107" s="13" t="inlineStr">
        <is>
          <t>Ekstraksi</t>
        </is>
      </c>
      <c r="C107" s="13" t="inlineStr">
        <is>
          <t>google/gemma-4-26b-a4b-it:free</t>
        </is>
      </c>
      <c r="D107" s="14" t="inlineStr">
        <is>
          <t>Sebutkan tiga metode yang umum digunakan untuk mengelola ketidakpastian dalam perencanaan Pemerintah Digital.</t>
        </is>
      </c>
      <c r="E107" s="14" t="inlineStr">
        <is>
          <t>Analisis skenario, simulasi Monte Carlo, dan forecasting.</t>
        </is>
      </c>
      <c r="F107" s="14" t="inlineStr">
        <is>
          <t>Tiga metode umum untuk mengelola ketidakpastian dalam perencanaan Pemerintah Digital adalah:
1.  **Scenario Planning (Perencanaan Skenario):** Menyusun berbagai skenario masa depan (optimis, moderat, pesimis) untuk menyiapkan strategi respons terhadap perubahan teknologi atau kebijakan.
2.thought **Agile Planning (Perencanaan Tangkas):** Menggunakan pendekatan iteratif (siklus pendek) yang memungkinkan penyesuaian rencana secara cepat berdasarkan hasil evaluasi dan perubahan kebutuhan.
3.  **Risk-Based Planning (Perencanaan Berbasis Risiko):** Mengidentifikasi, menganalisis, dan memitigasi potensi hambatan (teknis, regulasi, atau sumber daya) sebelum perencanaan final ditetapkan.</t>
        </is>
      </c>
      <c r="G107" s="15" t="n">
        <v>100</v>
      </c>
      <c r="H107" s="15" t="n">
        <v>21.26</v>
      </c>
      <c r="I107" s="15" t="n">
        <v>4.36</v>
      </c>
      <c r="J107" s="15" t="n">
        <v>87.22</v>
      </c>
      <c r="K107" s="15" t="n">
        <v>87.22</v>
      </c>
      <c r="L107" s="16" t="n">
        <v>0.1278</v>
      </c>
      <c r="M107" s="16" t="n">
        <v>0.1278</v>
      </c>
      <c r="N107" s="15" t="n">
        <v>12.78</v>
      </c>
      <c r="O107" s="17" t="inlineStr">
        <is>
          <t>PASSED</t>
        </is>
      </c>
      <c r="P107" s="16" t="n">
        <v>0.8722</v>
      </c>
    </row>
    <row r="108">
      <c r="A108" s="12" t="n">
        <v>100</v>
      </c>
      <c r="B108" s="13" t="inlineStr">
        <is>
          <t>Faktual</t>
        </is>
      </c>
      <c r="C108" s="13" t="inlineStr">
        <is>
          <t>google/gemma-4-26b-a4b-it:free</t>
        </is>
      </c>
      <c r="D108" s="14" t="inlineStr">
        <is>
          <t>Bagaimana mekanisme tindak lanjut hasil reviu Pemdi dijalankan untuk meningkatkan layanan digital?</t>
        </is>
      </c>
      <c r="E108" s="14" t="inlineStr">
        <is>
          <t>Hasil reviu ditindaklanjuti melalui penerapan perbaikan dan peningkatan layanan digital sesuai pedoman.</t>
        </is>
      </c>
      <c r="F108" s="14" t="inlineStr">
        <is>
          <t>Mekanisme tindak lanjut hasil reviu Pemda (Pemda/Instansi) dilakukan melalui tahapan berikut:
1.  **Penyusunan Rencana Aksi:** Instansi menyusun rencana perbaikan berdasarkan temuan reviu, yang mencakup aspek kebijakan, proses bisnis, data, aplikasi, dan infrastruktur.
2.
3.  **Integrasi ke Dokumen Perencanaan:** Hasil rekomendasi reviu wajib diintegrasikan ke dalam dokumen perencanaan (seperti Renstra atau Rencana Kerja) dan penganggaran (RKA) untuk memastikan ketersediaan sumber daya.
4.
5.  **Eksekusi Perbaikan:** Melaksanakan tindakan korektif, seperti:
    *   **Tata Kelola:** Revisi regulasi/SOP.
    *   **Layanan:** Integrasi aplikasi melalui API (menghindari silo data).
    *   **Teknis:** Penguatan infrastruktur atau keamanan siber.
6.
7.  **Monitoring dan Evaluasi (Monev):** Melakukan pemantauan berkala terhadap progres perbaikan dan mengukur dampaknya terhadap indeks kematangan SPBE serta kualitas layanan digital.</t>
        </is>
      </c>
      <c r="G108" s="15" t="n">
        <v>100</v>
      </c>
      <c r="H108" s="15" t="n">
        <v>19.65</v>
      </c>
      <c r="I108" s="15" t="n">
        <v>4.34</v>
      </c>
      <c r="J108" s="15" t="n">
        <v>86.84999999999999</v>
      </c>
      <c r="K108" s="15" t="n">
        <v>86.84999999999999</v>
      </c>
      <c r="L108" s="16" t="n">
        <v>0.1315</v>
      </c>
      <c r="M108" s="16" t="n">
        <v>0.1315</v>
      </c>
      <c r="N108" s="15" t="n">
        <v>13.15</v>
      </c>
      <c r="O108" s="17" t="inlineStr">
        <is>
          <t>PASSED</t>
        </is>
      </c>
      <c r="P108" s="16" t="n">
        <v>0.8685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2026-07-06T03:52:00Z</dcterms:created>
  <dcterms:modified xsi:type="dcterms:W3CDTF">2026-07-06T03:52:00Z</dcterms:modified>
</cp:coreProperties>
</file>