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 Perbandingan" sheetId="2" state="visible" r:id="rId2"/>
  </sheets>
  <definedNames/>
  <calcPr calcId="124519" fullCalcOnLoad="1"/>
</workbook>
</file>

<file path=xl/styles.xml><?xml version="1.0" encoding="utf-8"?>
<styleSheet xmlns="http://schemas.openxmlformats.org/spreadsheetml/2006/main">
  <numFmts count="2">
    <numFmt numFmtId="164" formatCode="0.00&quot;%&quot;"/>
    <numFmt numFmtId="165" formatCode="0.0000"/>
  </numFmts>
  <fonts count="6">
    <font>
      <name val="Calibri"/>
      <family val="2"/>
      <color theme="1"/>
      <sz val="11"/>
      <scheme val="minor"/>
    </font>
    <font>
      <name val="Calibri"/>
      <b val="1"/>
      <color rgb="001F497D"/>
      <sz val="16"/>
    </font>
    <font>
      <name val="Calibri"/>
      <sz val="11"/>
    </font>
    <font>
      <name val="Calibri"/>
      <b val="1"/>
      <color rgb="001F497D"/>
      <sz val="12"/>
    </font>
    <font>
      <name val="Calibri"/>
      <b val="1"/>
      <color rgb="00FFFFFF"/>
      <sz val="11"/>
    </font>
    <font>
      <name val="Calibri"/>
      <b val="1"/>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5" fillId="3" borderId="1" pivotButton="0" quotePrefix="0" xfId="0"/>
    <xf numFmtId="0" fontId="5" fillId="4" borderId="1" pivotButton="0" quotePrefix="0" xfId="0"/>
    <xf numFmtId="164" fontId="5" fillId="0" borderId="1" pivotButton="0" quotePrefix="0" xfId="0"/>
    <xf numFmtId="2" fontId="5"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2" fontId="2" fillId="0" borderId="1" applyAlignment="1" pivotButton="0" quotePrefix="0" xfId="0">
      <alignment horizontal="right" vertical="top"/>
    </xf>
    <xf numFmtId="165" fontId="2" fillId="0" borderId="1" applyAlignment="1" pivotButton="0" quotePrefix="0" xfId="0">
      <alignment horizontal="right" vertical="top"/>
    </xf>
    <xf numFmtId="0" fontId="5"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12" customWidth="1" min="1" max="1"/>
    <col width="45" customWidth="1" min="2" max="2"/>
    <col width="53" customWidth="1" min="3" max="3"/>
  </cols>
  <sheetData>
    <row r="1"/>
    <row r="2">
      <c r="B2" s="1" t="inlineStr">
        <is>
          <t>LAPORAN EVALUASI PERFORMA LLM (BASELINE)</t>
        </is>
      </c>
    </row>
    <row r="3">
      <c r="B3" s="2" t="inlineStr">
        <is>
          <t>Nama Pengujian: Skenario 1 - Baseline LLM</t>
        </is>
      </c>
    </row>
    <row r="4">
      <c r="B4" s="2" t="inlineStr">
        <is>
          <t>Terakhir Diperbarui: 2026-07-06 12:25:58</t>
        </is>
      </c>
    </row>
    <row r="5"/>
    <row r="6">
      <c r="B6" s="3" t="inlineStr">
        <is>
          <t>Ringkasan Statistik Utama</t>
        </is>
      </c>
    </row>
    <row r="7">
      <c r="B7" s="4" t="inlineStr">
        <is>
          <t>Metrik Pengujian</t>
        </is>
      </c>
      <c r="C7" s="4" t="inlineStr">
        <is>
          <t>Rata-rata / Total Nilai</t>
        </is>
      </c>
    </row>
    <row r="8">
      <c r="B8" s="5" t="inlineStr">
        <is>
          <t>Total Kasus Uji</t>
        </is>
      </c>
      <c r="C8" s="6" t="n">
        <v>100</v>
      </c>
    </row>
    <row r="9">
      <c r="B9" s="5" t="inlineStr">
        <is>
          <t>Total Passed (&gt;= 0.85)</t>
        </is>
      </c>
      <c r="C9" s="7">
        <f>COUNTIF('Detail Perbandingan'!O9:O108, "PASSED")</f>
        <v/>
      </c>
    </row>
    <row r="10">
      <c r="B10" s="5" t="inlineStr">
        <is>
          <t>Total Failed (&lt; 0.85)</t>
        </is>
      </c>
      <c r="C10" s="8">
        <f>COUNTIF('Detail Perbandingan'!O9:O108, "FAILED")</f>
        <v/>
      </c>
    </row>
    <row r="11">
      <c r="B11" s="5" t="inlineStr">
        <is>
          <t>Rata-rata Accuracy (%)</t>
        </is>
      </c>
      <c r="C11" s="9">
        <f>AVERAGE('Detail Perbandingan'!G9:G108)</f>
        <v/>
      </c>
    </row>
    <row r="12">
      <c r="B12" s="5" t="inlineStr">
        <is>
          <t>Rata-rata Response Time (s)</t>
        </is>
      </c>
      <c r="C12" s="10">
        <f>AVERAGE('Detail Perbandingan'!H9:H108)</f>
        <v/>
      </c>
    </row>
    <row r="13">
      <c r="B13" s="5" t="inlineStr">
        <is>
          <t>Rata-rata G-Eval (1-5)</t>
        </is>
      </c>
      <c r="C13" s="10">
        <f>AVERAGE('Detail Perbandingan'!I9:I108)</f>
        <v/>
      </c>
    </row>
    <row r="14">
      <c r="B14" s="5" t="inlineStr">
        <is>
          <t>Rata-rata AR Score</t>
        </is>
      </c>
      <c r="C14" s="10">
        <f>AVERAGE('Detail Perbandingan'!J9:J108)</f>
        <v/>
      </c>
    </row>
    <row r="15">
      <c r="B15" s="5" t="inlineStr">
        <is>
          <t>Rata-rata Fact-Checking (%)</t>
        </is>
      </c>
      <c r="C15" s="9">
        <f>AVERAGE('Detail Perbandingan'!K9:K108)</f>
        <v/>
      </c>
    </row>
    <row r="16">
      <c r="B16" s="5" t="inlineStr">
        <is>
          <t>Rata-rata MAE</t>
        </is>
      </c>
      <c r="C16" s="10">
        <f>AVERAGE('Detail Perbandingan'!L9:L108)</f>
        <v/>
      </c>
    </row>
    <row r="17">
      <c r="B17" s="5" t="inlineStr">
        <is>
          <t>Rata-rata RMSE</t>
        </is>
      </c>
      <c r="C17" s="10">
        <f>AVERAGE('Detail Perbandingan'!M9:M108)</f>
        <v/>
      </c>
    </row>
    <row r="18">
      <c r="B18" s="5" t="inlineStr">
        <is>
          <t>Rata-rata MAPE (%)</t>
        </is>
      </c>
      <c r="C18" s="9">
        <f>AVERAGE('Detail Perbandingan'!N9:N108)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showGridLines="1" workbookViewId="0">
      <pane ySplit="8" topLeftCell="A9" activePane="bottomLeft" state="frozen"/>
      <selection pane="bottomLeft" activeCell="A1" sqref="A1"/>
    </sheetView>
  </sheetViews>
  <sheetFormatPr baseColWidth="8" defaultRowHeight="15"/>
  <cols>
    <col width="10" customWidth="1" min="1" max="1"/>
    <col width="14" customWidth="1" min="2" max="2"/>
    <col width="28" customWidth="1" min="3" max="3"/>
    <col width="35" customWidth="1" min="4" max="4"/>
    <col width="40" customWidth="1" min="5" max="5"/>
    <col width="45" customWidth="1" min="6" max="6"/>
    <col width="25" customWidth="1" min="7" max="7"/>
    <col width="21" customWidth="1" min="8" max="8"/>
    <col width="16" customWidth="1" min="9" max="9"/>
    <col width="12" customWidth="1" min="10" max="10"/>
    <col width="21" customWidth="1" min="11" max="11"/>
    <col width="12" customWidth="1" min="12" max="12"/>
    <col width="12" customWidth="1" min="13" max="13"/>
    <col width="12" customWidth="1" min="14" max="14"/>
    <col width="19" customWidth="1" min="15" max="15"/>
    <col width="20" customWidth="1" min="16" max="16"/>
  </cols>
  <sheetData>
    <row r="1"/>
    <row r="2">
      <c r="A2" s="1" t="inlineStr">
        <is>
          <t>DATA DETAIL HASIL EVALUASI PER NOMOR SOAL</t>
        </is>
      </c>
    </row>
    <row r="3"/>
    <row r="4"/>
    <row r="5"/>
    <row r="6"/>
    <row r="7"/>
    <row r="8">
      <c r="A8" s="11" t="inlineStr">
        <is>
          <t>No Soal</t>
        </is>
      </c>
      <c r="B8" s="11" t="inlineStr">
        <is>
          <t>Tipe Query</t>
        </is>
      </c>
      <c r="C8" s="11" t="inlineStr">
        <is>
          <t>Model LLM</t>
        </is>
      </c>
      <c r="D8" s="11" t="inlineStr">
        <is>
          <t>Query</t>
        </is>
      </c>
      <c r="E8" s="11" t="inlineStr">
        <is>
          <t>Expected Output</t>
        </is>
      </c>
      <c r="F8" s="11" t="inlineStr">
        <is>
          <t>Hasil (Actual Output)</t>
        </is>
      </c>
      <c r="G8" s="11" t="inlineStr">
        <is>
          <t>Pipeline Accuracy (%)</t>
        </is>
      </c>
      <c r="H8" s="11" t="inlineStr">
        <is>
          <t>Response Time (s)</t>
        </is>
      </c>
      <c r="I8" s="11" t="inlineStr">
        <is>
          <t>G-Eval (1-5)</t>
        </is>
      </c>
      <c r="J8" s="11" t="inlineStr">
        <is>
          <t>AR Score</t>
        </is>
      </c>
      <c r="K8" s="11" t="inlineStr">
        <is>
          <t>Fact-Checking (%)</t>
        </is>
      </c>
      <c r="L8" s="11" t="inlineStr">
        <is>
          <t>MAE</t>
        </is>
      </c>
      <c r="M8" s="11" t="inlineStr">
        <is>
          <t>RMSE</t>
        </is>
      </c>
      <c r="N8" s="11" t="inlineStr">
        <is>
          <t>MAPE (%)</t>
        </is>
      </c>
      <c r="O8" s="11" t="inlineStr">
        <is>
          <t>Status Evaluasi</t>
        </is>
      </c>
      <c r="P8" s="11" t="inlineStr">
        <is>
          <t>Skor Aktual (E5)</t>
        </is>
      </c>
    </row>
    <row r="9">
      <c r="A9" s="12" t="n">
        <v>1</v>
      </c>
      <c r="B9" s="13" t="inlineStr">
        <is>
          <t>Faktual</t>
        </is>
      </c>
      <c r="C9" s="13" t="inlineStr">
        <is>
          <t>google/gemma-4-26b-a4b-it:free</t>
        </is>
      </c>
      <c r="D9" s="14" t="inlineStr">
        <is>
          <t>Apa kepanjangan dari SPBE dalam tata kelola pemerintahan Indonesia?</t>
        </is>
      </c>
      <c r="E9" s="14" t="inlineStr">
        <is>
          <t>Sistem Pemerintahan Berbasis Elektronik.</t>
        </is>
      </c>
      <c r="F9" s="14" t="inlineStr">
        <is>
          <t>Sistem Pemerintahan Berbasis Elektronik.</t>
        </is>
      </c>
      <c r="G9" s="15" t="n">
        <v>100</v>
      </c>
      <c r="H9" s="15" t="n">
        <v>242.77</v>
      </c>
      <c r="I9" s="15" t="n">
        <v>5</v>
      </c>
      <c r="J9" s="15" t="n">
        <v>100</v>
      </c>
      <c r="K9" s="15" t="n">
        <v>100</v>
      </c>
      <c r="L9" s="16" t="n">
        <v>0</v>
      </c>
      <c r="M9" s="16" t="n">
        <v>0</v>
      </c>
      <c r="N9" s="15" t="n">
        <v>0</v>
      </c>
      <c r="O9" s="17" t="inlineStr">
        <is>
          <t>PASSED</t>
        </is>
      </c>
      <c r="P9" s="16" t="n">
        <v>1</v>
      </c>
    </row>
    <row r="10">
      <c r="A10" s="12" t="n">
        <v>2</v>
      </c>
      <c r="B10" s="13" t="inlineStr">
        <is>
          <t>Faktual</t>
        </is>
      </c>
      <c r="C10" s="13" t="inlineStr">
        <is>
          <t>google/gemma-4-26b-a4b-it:free</t>
        </is>
      </c>
      <c r="D10" s="14" t="inlineStr">
        <is>
          <t>Secara umum, apa yang dimaksud dengan transformasi digital pemerintah?</t>
        </is>
      </c>
      <c r="E10" s="14" t="inlineStr">
        <is>
          <t>Pemanfaatan data dan teknologi digital untuk meningkatkan kualitas layanan dan tata kelola pemerintahan.</t>
        </is>
      </c>
      <c r="F10" s="14" t="inlineStr">
        <is>
          <t>Transformasi digital pemerintah adalah proses perubahan paradigma, tata kelola, dan proses bisnis dari sistem manual/analog ke sistem digital guna meningkatkan efisiensi, efektivitas, dan kualitas pelayanan publik.
Secara substansi, transformasi ini mencakup:
1. **Digitalisasi Proses:** Mengubah proses manual menjadi digital.
2. **Digitalisasi Layanan:** Mengintegrasikan berbagai layanan publik ke dalam platform digital yang terpadu (tidak lagi terfragmentasi).
3. **Perubahan Budaya Kerja:** Mengubah budaya kerja birokrasi menjadi berbasis data (*data-driven*) dan berbasis teknologi untuk menciptakan pemerintahan yang lebih lincah (*agile*) dan transparan.
Dalam konteks regulasi di Indonesia, hal ini merujuk pada implementasi **SPBE (Sistem Pemerintahan Berbasis Elektronik)** untuk mewujudkan tata kelola pemerintahan yang efektif, transparan, dan akuntabel.</t>
        </is>
      </c>
      <c r="G10" s="15" t="n">
        <v>100</v>
      </c>
      <c r="H10" s="15" t="n">
        <v>36.97</v>
      </c>
      <c r="I10" s="15" t="n">
        <v>4.3</v>
      </c>
      <c r="J10" s="15" t="n">
        <v>85.91</v>
      </c>
      <c r="K10" s="15" t="n">
        <v>85.91</v>
      </c>
      <c r="L10" s="16" t="n">
        <v>0.1409</v>
      </c>
      <c r="M10" s="16" t="n">
        <v>0.1409</v>
      </c>
      <c r="N10" s="15" t="n">
        <v>14.09</v>
      </c>
      <c r="O10" s="17" t="inlineStr">
        <is>
          <t>PASSED</t>
        </is>
      </c>
      <c r="P10" s="16" t="n">
        <v>0.8591</v>
      </c>
    </row>
    <row r="11">
      <c r="A11" s="12" t="n">
        <v>3</v>
      </c>
      <c r="B11" s="13" t="inlineStr">
        <is>
          <t>Faktual</t>
        </is>
      </c>
      <c r="C11" s="13" t="inlineStr">
        <is>
          <t>google/gemma-4-26b-a4b-it:free</t>
        </is>
      </c>
      <c r="D11" s="14" t="inlineStr">
        <is>
          <t>Apa tujuan utama dari kebijakan Satu Data Indonesia (SDI)?</t>
        </is>
      </c>
      <c r="E11" s="14" t="inlineStr">
        <is>
          <t>Mewujudkan data pemerintah yang akurat, mutakhir, terpadu, dan dapat diakses sebagai dasar perencanaan dan pengambilan keputusan.</t>
        </is>
      </c>
      <c r="F11" s="14" t="inlineStr">
        <is>
          <t>Tujuan utama kebijakan **Satu Data Indonesia (SDI)** adalah:
1.  **Mewujudkan Data Indonesia yang akurat, mutakhir, terpadu, dan dapat dipertanggungjawabkan.**
2.  **Mendukung pengambilan keputusan berbasis data (*data-driven policy*)** oleh pemerintah.
3.  **Menjamin interoperabilitas data** antar instansi pemerintah guna mewujudkan tata kelola pemerintahan yang efektif dan efisien.
4.s **Mendukung integrasi data** dalam rangka mendukung pembangunan nasional.
*(Dasar Hukum: Peraturan Presiden Nomor 39 Tahun 2019 tentang Satu Data Indonesia)*</t>
        </is>
      </c>
      <c r="G11" s="15" t="n">
        <v>100</v>
      </c>
      <c r="H11" s="15" t="n">
        <v>35.46</v>
      </c>
      <c r="I11" s="15" t="n">
        <v>4.36</v>
      </c>
      <c r="J11" s="15" t="n">
        <v>87.22</v>
      </c>
      <c r="K11" s="15" t="n">
        <v>87.22</v>
      </c>
      <c r="L11" s="16" t="n">
        <v>0.1278</v>
      </c>
      <c r="M11" s="16" t="n">
        <v>0.1278</v>
      </c>
      <c r="N11" s="15" t="n">
        <v>12.78</v>
      </c>
      <c r="O11" s="17" t="inlineStr">
        <is>
          <t>PASSED</t>
        </is>
      </c>
      <c r="P11" s="16" t="n">
        <v>0.8722</v>
      </c>
    </row>
    <row r="12">
      <c r="A12" s="12" t="n">
        <v>4</v>
      </c>
      <c r="B12" s="13" t="inlineStr">
        <is>
          <t>Ekstraksi</t>
        </is>
      </c>
      <c r="C12" s="13" t="inlineStr">
        <is>
          <t>google/gemma-4-26b-a4b-it:free</t>
        </is>
      </c>
      <c r="D12" s="14" t="inlineStr">
        <is>
          <t>Sebutkan tiga manfaat utama penerapan Pemerintah Digital bagi masyarakat.</t>
        </is>
      </c>
      <c r="E12" s="14" t="inlineStr">
        <is>
          <t>Akses layanan lebih cepat, peningkatan transparansi, dan kemudahan memperoleh layanan publik.</t>
        </is>
      </c>
      <c r="F12" s="14" t="inlineStr">
        <is>
          <t>Tiga manfaat utama penerapan Pemerintah Digital bagi masyarakat adalah:
1.  **Peningkatan Kualitas Layanan Publik:** Proses administrasi menjadi lebih cepat, mudah, dan dapat diakses kapan saja tanpa batasan geografis.
2.  **Peningkatan Transparansi dan Akuntabilitas:** Meminimalisir celah korupsi karena seluruh proses layanan tercatat secara digital dan dapat dilacak.
3.  **Efisiensi Biaya dan Waktu:** Masyarakat dapat menghemat biaya transportasi dan waktu karena tidak perlu hadir secara fisik untuk urusan birokrasi.</t>
        </is>
      </c>
      <c r="G12" s="15" t="n">
        <v>100</v>
      </c>
      <c r="H12" s="15" t="n">
        <v>43.16</v>
      </c>
      <c r="I12" s="15" t="n">
        <v>4.43</v>
      </c>
      <c r="J12" s="15" t="n">
        <v>88.62</v>
      </c>
      <c r="K12" s="15" t="n">
        <v>88.62</v>
      </c>
      <c r="L12" s="16" t="n">
        <v>0.1138</v>
      </c>
      <c r="M12" s="16" t="n">
        <v>0.1138</v>
      </c>
      <c r="N12" s="15" t="n">
        <v>11.38</v>
      </c>
      <c r="O12" s="17" t="inlineStr">
        <is>
          <t>PASSED</t>
        </is>
      </c>
      <c r="P12" s="16" t="n">
        <v>0.8862</v>
      </c>
    </row>
    <row r="13">
      <c r="A13" s="12" t="n">
        <v>5</v>
      </c>
      <c r="B13" s="13" t="inlineStr">
        <is>
          <t>Ekstraksi</t>
        </is>
      </c>
      <c r="C13" s="13" t="inlineStr">
        <is>
          <t>google/gemma-4-26b-a4b-it:free</t>
        </is>
      </c>
      <c r="D13" s="14" t="inlineStr">
        <is>
          <t>Sebutkan tiga karakteristik utama digital government.</t>
        </is>
      </c>
      <c r="E13" s="14" t="inlineStr">
        <is>
          <t>Keterpaduan layanan, pemanfaatan data, dan orientasi pada kebutuhan pengguna.</t>
        </is>
      </c>
      <c r="F13" s="14" t="inlineStr">
        <is>
          <t>Tiga karakteristik utama *digital government* adalah:
1.  **Berorientasi pada Pengguna (*User-Centric*):** Layanan dirancang berdasarkan kebutuhan dan kemudahan pengguna, bukan berdasarkan struktur birokrasi.
2.  **Terintegrasi (*Integrated*):** Adanya interoperabilitas antar sistem dan data pemerintah untuk menghindari silo informasi (fragmentasi data).
3.as** Berbasis Data (*Data-Driven*):** Pengambilan kebijakan dan keputusan didasarkan pada analisis data yang akurat, bukan sekadar asumsi.</t>
        </is>
      </c>
      <c r="G13" s="15" t="n">
        <v>100</v>
      </c>
      <c r="H13" s="15" t="n">
        <v>285.93</v>
      </c>
      <c r="I13" s="15" t="n">
        <v>4.31</v>
      </c>
      <c r="J13" s="15" t="n">
        <v>86.13</v>
      </c>
      <c r="K13" s="15" t="n">
        <v>86.13</v>
      </c>
      <c r="L13" s="16" t="n">
        <v>0.1387</v>
      </c>
      <c r="M13" s="16" t="n">
        <v>0.1387</v>
      </c>
      <c r="N13" s="15" t="n">
        <v>13.87</v>
      </c>
      <c r="O13" s="17" t="inlineStr">
        <is>
          <t>PASSED</t>
        </is>
      </c>
      <c r="P13" s="16" t="n">
        <v>0.8613</v>
      </c>
    </row>
    <row r="14">
      <c r="A14" s="12" t="n">
        <v>6</v>
      </c>
      <c r="B14" s="13" t="inlineStr">
        <is>
          <t>Faktual</t>
        </is>
      </c>
      <c r="C14" s="13" t="inlineStr">
        <is>
          <t>google/gemma-4-26b-a4b-it:free</t>
        </is>
      </c>
      <c r="D14" s="14" t="inlineStr">
        <is>
          <t>Apa manfaat penerapan tata kelola data dalam pemerintahan digital?</t>
        </is>
      </c>
      <c r="E14" s="14" t="inlineStr">
        <is>
          <t>Memastikan data akurat, terintegrasi, aman, dan dapat dimanfaatkan untuk mendukung layanan serta pengambilan keputusan.</t>
        </is>
      </c>
      <c r="F14" s="14" t="inlineStr">
        <is>
          <t>Penerapan tata kelola data dalam pemerintahan digital memberikan manfaat utama sebagai berikut:
1.  **Integrasi Data (Interoperabilitas):** Menghilangkan ego sektoral melalui pertukaran data yang mulus antar instansi pemerintah (sesuai prinsip Satu Data Indonesia).
2.e** Pengambilan Keputusan Berbasis Data (*Data-Driven Decision Making*):** Memastikan kebijakan publik dibuat berdasarkan analisis data yang akurat, relevan, dan mutakhir.
3.  **Efisiensi Operasional:** Menghindari duplikasi data dan redundansi aktivitas, sehingga menghemat sumber daya negara (anggaran dan waktu).
4.  **Peningkatan Kualitas Layanan Publik:** Mempercepat proses layanan karena data bersifat akurat, terintegrasi, dan dapat diakses secara cepat oleh masyarakat.
5.  **Keamanan dan Akuntabilitas:** Menjamin perlindungan data pribadi masyarakat serta memastikan integritas dan autentisitas data pemerintah.</t>
        </is>
      </c>
      <c r="G14" s="15" t="n">
        <v>100</v>
      </c>
      <c r="H14" s="15" t="n">
        <v>160.4</v>
      </c>
      <c r="I14" s="15" t="n">
        <v>4.25</v>
      </c>
      <c r="J14" s="15" t="n">
        <v>85.09</v>
      </c>
      <c r="K14" s="15" t="n">
        <v>85.09</v>
      </c>
      <c r="L14" s="16" t="n">
        <v>0.1491</v>
      </c>
      <c r="M14" s="16" t="n">
        <v>0.1491</v>
      </c>
      <c r="N14" s="15" t="n">
        <v>14.91</v>
      </c>
      <c r="O14" s="17" t="inlineStr">
        <is>
          <t>PASSED</t>
        </is>
      </c>
      <c r="P14" s="16" t="n">
        <v>0.8509</v>
      </c>
    </row>
    <row r="15">
      <c r="A15" s="12" t="n">
        <v>7</v>
      </c>
      <c r="B15" s="13" t="inlineStr">
        <is>
          <t>Ekstraksi</t>
        </is>
      </c>
      <c r="C15" s="13" t="inlineStr">
        <is>
          <t>google/gemma-4-26b-a4b-it:free</t>
        </is>
      </c>
      <c r="D15" s="14" t="inlineStr">
        <is>
          <t>Sebutkan tiga tujuan utama keamanan siber dalam layanan pemerintah digital.</t>
        </is>
      </c>
      <c r="E15" s="14" t="inlineStr">
        <is>
          <t>Melindungi kerahasiaan data, menjaga integritas informasi, dan memastikan ketersediaan layanan.</t>
        </is>
      </c>
      <c r="F15" s="14" t="inlineStr">
        <is>
          <t>Tiga tujuan utama keamanan siber dalam layanan pemerintah digital adalah:
1.  **Kerahasiaan (*Confidentiality*):** Menjamin data pemerintah dan data pribadi masyarakat hanya dapat diakses oleh pihak yang berwenang.
2.  **Integritas (*Integrity*):** Menjamin keakuratan, keutuhan, dan validitas data serta informasi agar tidak dimanipulasi oleh pihak yang tidak berwenang.
3.  Ketersediaan (***Availability*):** Menjamin layanan digital pemerintah dapat diakses kapan saja saat dibutuhkan oleh pengguna/masyarakat.</t>
        </is>
      </c>
      <c r="G15" s="15" t="n">
        <v>100</v>
      </c>
      <c r="H15" s="15" t="n">
        <v>164.48</v>
      </c>
      <c r="I15" s="15" t="n">
        <v>4.46</v>
      </c>
      <c r="J15" s="15" t="n">
        <v>89.22</v>
      </c>
      <c r="K15" s="15" t="n">
        <v>89.22</v>
      </c>
      <c r="L15" s="16" t="n">
        <v>0.1078</v>
      </c>
      <c r="M15" s="16" t="n">
        <v>0.1078</v>
      </c>
      <c r="N15" s="15" t="n">
        <v>10.78</v>
      </c>
      <c r="O15" s="17" t="inlineStr">
        <is>
          <t>PASSED</t>
        </is>
      </c>
      <c r="P15" s="16" t="n">
        <v>0.8922</v>
      </c>
    </row>
    <row r="16">
      <c r="A16" s="12" t="n">
        <v>8</v>
      </c>
      <c r="B16" s="13" t="inlineStr">
        <is>
          <t>Faktual</t>
        </is>
      </c>
      <c r="C16" s="13" t="inlineStr">
        <is>
          <t>google/gemma-4-26b-a4b-it:free</t>
        </is>
      </c>
      <c r="D16" s="14" t="inlineStr">
        <is>
          <t>Apa fungsi sebuah portal layanan publik nasional bagi masyarakat?</t>
        </is>
      </c>
      <c r="E16" s="14" t="inlineStr">
        <is>
          <t>Mengonsolidasikan berbagai layanan pemerintah dalam satu titik akses agar mudah, cepat, dan terpadu.</t>
        </is>
      </c>
      <c r="F16" s="14" t="inlineStr">
        <is>
          <t>Fungsi portal layanan publik nasional bagi masyarakat adalah:
1.  **Single Sign-On (SSO):** Menyediakan satu titik akses tunggal untuk berbagai jenis layanan pemerintah tanpa perlu banyak akun.
2.  **Integrasi Layanan:** Mempermudah masyarakat mengakses beragam layanan dari berbagai instansi pemerintah dalam satu platform.
3.  **Kemudahan Akses:** Menghilangkan hambatan birokrasi digital dengan menyediakan antarmuka yang seragam dan mudah digunakan.
4.  **Transparansi &amp; Efisiensi:** Mempercepat proses pelayanan publik serta memberikan kejelasan status pengurusan layanan secara real-time.</t>
        </is>
      </c>
      <c r="G16" s="15" t="n">
        <v>100</v>
      </c>
      <c r="H16" s="15" t="n">
        <v>6.86</v>
      </c>
      <c r="I16" s="15" t="n">
        <v>4.44</v>
      </c>
      <c r="J16" s="15" t="n">
        <v>88.70999999999999</v>
      </c>
      <c r="K16" s="15" t="n">
        <v>88.70999999999999</v>
      </c>
      <c r="L16" s="16" t="n">
        <v>0.1129</v>
      </c>
      <c r="M16" s="16" t="n">
        <v>0.1129</v>
      </c>
      <c r="N16" s="15" t="n">
        <v>11.29</v>
      </c>
      <c r="O16" s="17" t="inlineStr">
        <is>
          <t>PASSED</t>
        </is>
      </c>
      <c r="P16" s="16" t="n">
        <v>0.8871</v>
      </c>
    </row>
    <row r="17">
      <c r="A17" s="12" t="n">
        <v>9</v>
      </c>
      <c r="B17" s="13" t="inlineStr">
        <is>
          <t>Faktual</t>
        </is>
      </c>
      <c r="C17" s="13" t="inlineStr">
        <is>
          <t>google/gemma-4-26b-a4b-it:free</t>
        </is>
      </c>
      <c r="D17" s="14" t="inlineStr">
        <is>
          <t>Jelaskan secara umum apa itu RAG (Retrieval-Augmented Generation) pada sistem AI. (Mengapa integrasi layanan digital penting bagi masyarakat?)</t>
        </is>
      </c>
      <c r="E17" s="14" t="inlineStr">
        <is>
          <t>Mempermudah akses layanan, mengurangi duplikasi proses, dan meningkatkan efisiensi pelayanan.</t>
        </is>
      </c>
      <c r="F17" s="14" t="inlineStr">
        <is>
          <t>**Retrieval-Augmented Generation (RAG)** adalah metode pada sistem AI (khususnya Large Language Model) yang bekerja dengan cara mencari dan mengambil informasi relevan dari sumber data eksternal yang terpercaya (seperti dokumen regulasi atau basis data pemerintah) sebelum menghasilkan jawaban.
**Tujuannya:**
1. **Akurasi:** Menghindari "halusinasi" AI dengan memberikan referensi data yang nyata.
2. **Relevansi:** Memastikan jawaban sesuai dengan konteks data terbaru (misalnya, regulasi SPBE terbaru).
3.k **Transparansi:** Memungkinkan sistem menyertakan sumber data sebagai referensi jawaban.
---
**Mengapa Integrasi Layanan Digital Penting bagi Masyarakat?**
Dalam kerangka **SPBE**, integrasi penting untuk:
1. **Efisiensi:** Menghapus fragmentasi aplikasi (*silo sistem*) agar masyarakat tidak perlu mengunduh banyak aplikasi berbeda.
2. **Kemudahan Akses:** Mewujudkan prinsip *Once Only Principle* (masyarakat hanya perlu menginput data satu kali untuk berbagai layanan).
3. **Kecepatan Layanan:** Mempercepat proses birokrasi melalui pertukaran data antar instansi pemerintah yang mulus (interoperabilitas).</t>
        </is>
      </c>
      <c r="G17" s="15" t="n">
        <v>84.15000000000001</v>
      </c>
      <c r="H17" s="15" t="n">
        <v>202.83</v>
      </c>
      <c r="I17" s="15" t="n">
        <v>4.21</v>
      </c>
      <c r="J17" s="15" t="n">
        <v>84.15000000000001</v>
      </c>
      <c r="K17" s="15" t="n">
        <v>84.15000000000001</v>
      </c>
      <c r="L17" s="16" t="n">
        <v>0.1585</v>
      </c>
      <c r="M17" s="16" t="n">
        <v>0.1585</v>
      </c>
      <c r="N17" s="15" t="n">
        <v>15.85</v>
      </c>
      <c r="O17" s="18" t="inlineStr">
        <is>
          <t>FAILED</t>
        </is>
      </c>
      <c r="P17" s="16" t="n">
        <v>0.8415</v>
      </c>
    </row>
    <row r="18">
      <c r="A18" s="12" t="n">
        <v>10</v>
      </c>
      <c r="B18" s="13" t="inlineStr">
        <is>
          <t>Faktual</t>
        </is>
      </c>
      <c r="C18" s="13" t="inlineStr">
        <is>
          <t>google/gemma-4-26b-a4b-it:free</t>
        </is>
      </c>
      <c r="D18" s="14" t="inlineStr">
        <is>
          <t>Apa yang dimaksud dengan pelindungan data pribadi (PDP)?</t>
        </is>
      </c>
      <c r="E18" s="14" t="inlineStr">
        <is>
          <t>Upaya tata kelola dan teknis untuk melindungi data pribadi sepanjang siklus pemrosesannya sesuai regulasi.</t>
        </is>
      </c>
      <c r="F18" s="14" t="inlineStr">
        <is>
          <t>**Pelindungan Data Pribadi (PDP)** adalah segala upaya yang dilakukan untuk melindungi Data Pribadi dari akses yang tidak sah, penyalahgunaan, atau akses ilegal lainnya.
Secara hukum di Indonesia, hal ini diatur dalam **UU No. 27 Tahun 2022 tentang Pelindungan Data Pribadi**, yang mencakup perlindungan terhadap hak subjek data, kewajiban pengendali dan prosesor data, serta sanksi atas pelanggarannya. Dalam konteks **SPBE**, PDP merupakan aspek krusjial dalam aspek keamanan informasi untuk menjamin kerahasiaan, keutuhan, dan ketersediaan data penduduk dalam sistem elektronik pemerintah.</t>
        </is>
      </c>
      <c r="G18" s="15" t="n">
        <v>100</v>
      </c>
      <c r="H18" s="15" t="n">
        <v>36.95</v>
      </c>
      <c r="I18" s="15" t="n">
        <v>4.29</v>
      </c>
      <c r="J18" s="15" t="n">
        <v>85.73999999999999</v>
      </c>
      <c r="K18" s="15" t="n">
        <v>85.73999999999999</v>
      </c>
      <c r="L18" s="16" t="n">
        <v>0.1426</v>
      </c>
      <c r="M18" s="16" t="n">
        <v>0.1426</v>
      </c>
      <c r="N18" s="15" t="n">
        <v>14.26</v>
      </c>
      <c r="O18" s="17" t="inlineStr">
        <is>
          <t>PASSED</t>
        </is>
      </c>
      <c r="P18" s="16" t="n">
        <v>0.8574000000000001</v>
      </c>
    </row>
    <row r="19">
      <c r="A19" s="12" t="n">
        <v>11</v>
      </c>
      <c r="B19" s="13" t="inlineStr">
        <is>
          <t>Evaluatif</t>
        </is>
      </c>
      <c r="C19" s="13" t="inlineStr">
        <is>
          <t>google/gemma-4-26b-a4b-it:free</t>
        </is>
      </c>
      <c r="D19" s="14" t="inlineStr">
        <is>
          <t>Mengapa kepuasan pengguna menjadi tolok ukur penting dalam layanan digital?</t>
        </is>
      </c>
      <c r="E19" s="14" t="inlineStr">
        <is>
          <t>Karena keberhasilan layanan akhirnya diukur dari manfaat dan pengalaman nyata pengguna, bukan sekadar ketersediaan teknologi.</t>
        </is>
      </c>
      <c r="F19" s="14" t="inlineStr">
        <is>
          <t>Kepuasan pengguna menjadi tolok ukur penting dalam layanan digital (e-government) karena:
1.  **Indikator Keberhasilan Transformasi Digital:** Menunjukkan sejauh mana teknologi yang diterapkan benar-benar memberikan nilai manfaat (*value*) dan menjawab kebutuhan masyarakat/aparatur.
2.thought
&lt;channel|&gt;
3.  **Parameter Efektivitas Layanan:** Menandakan bahwa antarmuka (*interface*), kemudahan penggunaan (*usability*), dan kecepatan layanan telah memenuhi ekspektasi pengguna.
4.  **Dasar Evaluasi dan Perbaikan:** Menjadi data objektif untuk melakukan iterasi, pengembangan fitur, dan perbaikan berkelanjutan (*continuous improvement*) pada sistem.
5.- **Peningkatan Trust (Kepercayaan Publik):** Kepuasan yang tinggi meningkatkan kepercayaan masyarakat terhadap pemerintah digital, yang berujung pada peningkatan adopsi layanan digital secara luas.</t>
        </is>
      </c>
      <c r="G19" s="15" t="n">
        <v>100</v>
      </c>
      <c r="H19" s="15" t="n">
        <v>42.87</v>
      </c>
      <c r="I19" s="15" t="n">
        <v>4.3</v>
      </c>
      <c r="J19" s="15" t="n">
        <v>85.98</v>
      </c>
      <c r="K19" s="15" t="n">
        <v>85.98</v>
      </c>
      <c r="L19" s="16" t="n">
        <v>0.1402</v>
      </c>
      <c r="M19" s="16" t="n">
        <v>0.1402</v>
      </c>
      <c r="N19" s="15" t="n">
        <v>14.02</v>
      </c>
      <c r="O19" s="17" t="inlineStr">
        <is>
          <t>PASSED</t>
        </is>
      </c>
      <c r="P19" s="16" t="n">
        <v>0.8598</v>
      </c>
    </row>
    <row r="20">
      <c r="A20" s="12" t="n">
        <v>12</v>
      </c>
      <c r="B20" s="13" t="inlineStr">
        <is>
          <t>Faktual</t>
        </is>
      </c>
      <c r="C20" s="13" t="inlineStr">
        <is>
          <t>google/gemma-4-26b-a4b-it:free</t>
        </is>
      </c>
      <c r="D20" s="14" t="inlineStr">
        <is>
          <t>Apa peran komputasi awan (cloud) dalam infrastruktur pemerintah modern?</t>
        </is>
      </c>
      <c r="E20" s="14" t="inlineStr">
        <is>
          <t>Menyediakan sumber daya komputasi yang elastis, efisien, dan terkonsolidasi untuk layanan digital.</t>
        </is>
      </c>
      <c r="F20" s="14" t="inlineStr">
        <is>
          <t>Dalam infrastruktur pemerintah modern, peran komputasi awan (*cloud computing*) adalah sebagai **penyedia layanan infrastruktur teknologi informasi yang skalabel, efisien, dan fleksibel**.
Secara spesifik, perannya meliputi:
1.  **Skalabilitas &amp; Fleksibilitas:** Memungkinkan penyesuaian kapasitas sumber daya (storage/compute) secara cepat sesuai beban kerja aplikasi layanan publik tanpa perlu investasi perangkat keras fisik yang besar di awal.
2.  **Efisiensi Anggaran:** Mengubah model belanja modal (*CapEx*) menjadi belanja operasional (*OpEx*), sehingga anggaran negara lebih efisien karena membayar sesuai pemakaian (*pay-per-use*).
3.ers **Akselerasi Digitalisasi:** Mempercepat implementasi aplikasi pemerintah dan integrasi data antar instansi melalui layanan berbasis platform (*PaaS*) dan perangkat lunak (*SaaS*).
4.kan **Ketahanan Layanan (*Resilience*):** Menjamin ketersediaan layanan (*high availability*) dan pemulihan bencana (*disaster recovery*) yang lebih baik melalui redundansi data di berbagai zona.
5.  **Standarisasi Data:** Mendukung integrasi data nasional (Satu Data Indonesia) melalui penyimpanan terpusat yang lebih mudah dikelola dan diamankan.
**Catatan Regulasi:** Implementasi *cloud* pemerintah wajib memperhatikan aspek **Kedaulatan Data** dan **Keamanan Informasi** sesuai dengan Perpres tentang SPBE, di mana data sensitif negara harus dikelola pada infrastruktur yang memenuhi standar keamanan nasional.</t>
        </is>
      </c>
      <c r="G20" s="15" t="n">
        <v>100</v>
      </c>
      <c r="H20" s="15" t="n">
        <v>94.34999999999999</v>
      </c>
      <c r="I20" s="15" t="n">
        <v>4.34</v>
      </c>
      <c r="J20" s="15" t="n">
        <v>86.75</v>
      </c>
      <c r="K20" s="15" t="n">
        <v>86.75</v>
      </c>
      <c r="L20" s="16" t="n">
        <v>0.1325</v>
      </c>
      <c r="M20" s="16" t="n">
        <v>0.1325</v>
      </c>
      <c r="N20" s="15" t="n">
        <v>13.25</v>
      </c>
      <c r="O20" s="17" t="inlineStr">
        <is>
          <t>PASSED</t>
        </is>
      </c>
      <c r="P20" s="16" t="n">
        <v>0.8675</v>
      </c>
    </row>
    <row r="21">
      <c r="A21" s="12" t="n">
        <v>13</v>
      </c>
      <c r="B21" s="13" t="inlineStr">
        <is>
          <t>Ekstraksi</t>
        </is>
      </c>
      <c r="C21" s="13" t="inlineStr">
        <is>
          <t>google/gemma-4-26b-a4b-it:free</t>
        </is>
      </c>
      <c r="D21" s="14" t="inlineStr">
        <is>
          <t>Apa tujuan dilakukannya evaluasi kinerja pemerintah digital?</t>
        </is>
      </c>
      <c r="E21" s="14" t="inlineStr">
        <is>
          <t>Mengukur tingkat kematangan dan efektivitas penerapan pemerintah digital untuk perbaikan berkelanjutan</t>
        </is>
      </c>
      <c r="F21" s="14" t="inlineStr">
        <is>
          <t>Tujuan dilakukannya evaluasi kinerja pemerintah digital adalah:
1.  **Mengukur Tingkat Kematangan:** Mengetahui sejauh mana penerapan SPBE telah berjalan sesuai standar yang ditetapkan.
2.  **Mengidentifikasi Kesenjangan:** Menemukan hambatan dan kekurangan dalam tata kelola, layanan, infrastruktur, serta teknologi digital.
3.thought **Dasar Perbaikan:** Memberikan rekomendasi strategis untuk meningkatkan efisiensi, efektivitas, dan integrasi layanan publik digital.
4.  **Akuntabilitas:** Memastikan penggunaan sumber daya digital dilakukan secara transparan dan tepat sasaran sesuai regulasi.</t>
        </is>
      </c>
      <c r="G21" s="15" t="n">
        <v>100</v>
      </c>
      <c r="H21" s="15" t="n">
        <v>20.29</v>
      </c>
      <c r="I21" s="15" t="n">
        <v>4.63</v>
      </c>
      <c r="J21" s="15" t="n">
        <v>92.51000000000001</v>
      </c>
      <c r="K21" s="15" t="n">
        <v>92.51000000000001</v>
      </c>
      <c r="L21" s="16" t="n">
        <v>0.07489999999999999</v>
      </c>
      <c r="M21" s="16" t="n">
        <v>0.07489999999999999</v>
      </c>
      <c r="N21" s="15" t="n">
        <v>7.49</v>
      </c>
      <c r="O21" s="17" t="inlineStr">
        <is>
          <t>PASSED</t>
        </is>
      </c>
      <c r="P21" s="16" t="n">
        <v>0.9251</v>
      </c>
    </row>
    <row r="22">
      <c r="A22" s="12" t="n">
        <v>14</v>
      </c>
      <c r="B22" s="13" t="inlineStr">
        <is>
          <t>Analisis</t>
        </is>
      </c>
      <c r="C22" s="13" t="inlineStr">
        <is>
          <t>google/gemma-4-26b-a4b-it:free</t>
        </is>
      </c>
      <c r="D22" s="14" t="inlineStr">
        <is>
          <t>Bagaimana hubungan antara CSIRT dan penanganan insiden siber dalam menjaga keamanan layanan digital pemerintah?</t>
        </is>
      </c>
      <c r="E22" s="14" t="inlineStr">
        <is>
          <t>CSIRT bertanggung jawab menangani insiden siber, sedangkan penanganan insiden merupakan proses yang dilaksanakan untuk menjaga keamanan layanan digital.</t>
        </is>
      </c>
      <c r="F22" s="14" t="inlineStr">
        <is>
          <t>Hubungan antara **CSIRT (Computer Security Incident Response Team)** dan penanganan insiden siber dalam kerangka SPBE adalah sebagai berikut:
1.  **Peran Utama:** CSIRT berfungsi sebagai unit/tim teknis yang bertanggung jawab melakukan **deteksi, mitigasi, dan pemulihan** saat terjadi insiden keamanan siber.
2.  **Alur Penanganan:** Ketika terjadi gangguan pada layanan digital pemerintah, CSIRT bertindak sebagai unit respons pertama yang melakukan investigasi (forensik), isolasi sistem yang terdampak, dan pemulihan layanan guna meminimalkan dampak.
3.  **Fungsi Koordinasi:** CSIRT menjembatani koordinasi antara pengelola layanan digital (unit kerja) dengan otoritas keamanan siber (seperti BSSN) untuk pelaporan dan penanganan insiden sesuai standar keamanan informasi.
4.  **Tujuan Akhir:** Memastikan **keberlangsungan layanan digital pemerintah** (*business continuity*) dan menjaga integritas, kerahasiaan, serta ketersediaan data negara dari ancaman siber.
**Intinya:** CSIRT adalah unit reaksi cepat yang memastikan insiden siber tidak melumpuhkan layanan publik digital pemerintah.</t>
        </is>
      </c>
      <c r="G22" s="15" t="n">
        <v>100</v>
      </c>
      <c r="H22" s="15" t="n">
        <v>179.91</v>
      </c>
      <c r="I22" s="15" t="n">
        <v>4.44</v>
      </c>
      <c r="J22" s="15" t="n">
        <v>88.79000000000001</v>
      </c>
      <c r="K22" s="15" t="n">
        <v>88.79000000000001</v>
      </c>
      <c r="L22" s="16" t="n">
        <v>0.1121</v>
      </c>
      <c r="M22" s="16" t="n">
        <v>0.1121</v>
      </c>
      <c r="N22" s="15" t="n">
        <v>11.21</v>
      </c>
      <c r="O22" s="17" t="inlineStr">
        <is>
          <t>PASSED</t>
        </is>
      </c>
      <c r="P22" s="16" t="n">
        <v>0.8879</v>
      </c>
    </row>
    <row r="23">
      <c r="A23" s="12" t="n">
        <v>15</v>
      </c>
      <c r="B23" s="13" t="inlineStr">
        <is>
          <t>Faktual</t>
        </is>
      </c>
      <c r="C23" s="13" t="inlineStr">
        <is>
          <t>google/gemma-4-26b-a4b-it:free</t>
        </is>
      </c>
      <c r="D23" s="14" t="inlineStr">
        <is>
          <t>Apa manfaat kriptografi untuk pengamanan data pemerintah?</t>
        </is>
      </c>
      <c r="E23" s="14" t="inlineStr">
        <is>
          <t>Menjaga kerahasiaan dan integritas data saat disimpan, digunakan, maupun dipertukarkan.</t>
        </is>
      </c>
      <c r="F23" s="14" t="inlineStr">
        <is>
          <t>Manfaat kriptografi untuk pengamanan data pemerintah adalah:
1.  **Kerahasiaan (*Confidentiality*):** Menjamin data hanya dapat dibaca oleh pihak yang memiliki hak akses (kunci dekripsi), sehingga mencegah kebocoran data sensitif negara.
2.  **Integritas (*Integrity*):** Menjamin data tidak diubah oleh pihak yang tidak berwenang selama proses transmisi atau penyimpanan.
3.  &lt;channel|&gt;**Autentikasi (*Authentication*):** Memastikan identitas pengirim atau pengguna data adalah benar dan valid.
4.  **Nirpenyangkalan (*Non-repudiation*):** Mencegah pihak yang mengirim atau menandatangani data menyangkal keterlibatannya dalam transaksi digital tersebut.</t>
        </is>
      </c>
      <c r="G23" s="15" t="n">
        <v>100</v>
      </c>
      <c r="H23" s="15" t="n">
        <v>73.27</v>
      </c>
      <c r="I23" s="15" t="n">
        <v>4.31</v>
      </c>
      <c r="J23" s="15" t="n">
        <v>86.23</v>
      </c>
      <c r="K23" s="15" t="n">
        <v>86.23</v>
      </c>
      <c r="L23" s="16" t="n">
        <v>0.1377</v>
      </c>
      <c r="M23" s="16" t="n">
        <v>0.1377</v>
      </c>
      <c r="N23" s="15" t="n">
        <v>13.77</v>
      </c>
      <c r="O23" s="17" t="inlineStr">
        <is>
          <t>PASSED</t>
        </is>
      </c>
      <c r="P23" s="16" t="n">
        <v>0.8623</v>
      </c>
    </row>
    <row r="24">
      <c r="A24" s="12" t="n">
        <v>16</v>
      </c>
      <c r="B24" s="13" t="inlineStr">
        <is>
          <t>Faktual</t>
        </is>
      </c>
      <c r="C24" s="13" t="inlineStr">
        <is>
          <t>google/gemma-4-26b-a4b-it:free</t>
        </is>
      </c>
      <c r="D24" s="14" t="inlineStr">
        <is>
          <t>Jelaskan secara umum konsep arsitektur enterprise pada pemerintahan.</t>
        </is>
      </c>
      <c r="E24" s="14" t="inlineStr">
        <is>
          <t>Kerangka yang menyelaraskan proses bisnis, data, aplikasi, dan teknologi agar terpadu mendukung tujuan organisasi.</t>
        </is>
      </c>
      <c r="F24" s="14" t="inlineStr">
        <is>
          <t>Arsitektur Enterprise (AE) dalam pemerintahan adalah kerangka kerja terintegrasi yang menyelaraskan **Strategi Bisnis**, **Data**, **Aplikasi**, dan **Infrastruktur Teknologi Informasi** untuk mencapai tujuan organisasi.
Dalam konteks SPBE, AE berfungsi sebagai **cetak biru (blueprint)** untuk memastikan seluruh proses bisnis, layanan publik, dan infrastruktur teknologi antar instansi pemerintah saling terhubung (interoperabel), efisien, dan tidak berjalan sendiri-sendiri (silos).
**4 Pilar Utama AE Pemerintah:**
1.  **Arsitektur Proses Bisnis:** Menjelaskan alur kerja dan layanan pemerintah.
2.   Arsitektur Data: Mengatur struktur, penyimpanan, dan aliran data antar instansi.
3.  **Arsitektur Aplikasi:** Menjelaskan layanan digital dan perangkat lunak yang digunakan.
4.  **Arsitektur Infrastruktur:** Mengatur perangkat keras, jaringan, dan pusat data (pusat data nasional).
**Tujuan Utama:** Mewujudkan tata kelola pemerintahan yang terintegrasi, efektif, dan efisien sesuai dengan amanat Peraturan Presiden No. 95 Tahun 2018 tentang SPBE.</t>
        </is>
      </c>
      <c r="G24" s="15" t="n">
        <v>100</v>
      </c>
      <c r="H24" s="15" t="n">
        <v>140.02</v>
      </c>
      <c r="I24" s="15" t="n">
        <v>4.3</v>
      </c>
      <c r="J24" s="15" t="n">
        <v>85.94</v>
      </c>
      <c r="K24" s="15" t="n">
        <v>85.94</v>
      </c>
      <c r="L24" s="16" t="n">
        <v>0.1406</v>
      </c>
      <c r="M24" s="16" t="n">
        <v>0.1406</v>
      </c>
      <c r="N24" s="15" t="n">
        <v>14.06</v>
      </c>
      <c r="O24" s="17" t="inlineStr">
        <is>
          <t>PASSED</t>
        </is>
      </c>
      <c r="P24" s="16" t="n">
        <v>0.8594000000000001</v>
      </c>
    </row>
    <row r="25">
      <c r="A25" s="12" t="n">
        <v>17</v>
      </c>
      <c r="B25" s="13" t="inlineStr">
        <is>
          <t>Faktual</t>
        </is>
      </c>
      <c r="C25" s="13" t="inlineStr">
        <is>
          <t>google/gemma-4-26b-a4b-it:free</t>
        </is>
      </c>
      <c r="D25" s="14" t="inlineStr">
        <is>
          <t>Apa yang dimaksud dengan informasi geospasial?</t>
        </is>
      </c>
      <c r="E25" s="14" t="inlineStr">
        <is>
          <t>Informasi mengenai lokasi, posisi, dan karakteristik objek di permukaan bumi yang bereferensi spasial.</t>
        </is>
      </c>
      <c r="F25" s="14" t="inlineStr">
        <is>
          <t>**Informasi Geospasial (IG)** adalah data yang memiliki referensi lokasi (koordinat) di permukaan bumi. 
Berdasarkan **UU No. 4 Tahun 2016**, IG mencakup data yang menyajikan informasi mengenai lokasi, posisi, dan karakteristik fisik maupun sosial suatu objek di permukaan bumi. Dalam konteks SPBE, IG merupakan data spasial yang penting untuk integrasi data lintas instansi (seperti peta tata ruang atau batas wilayah).</t>
        </is>
      </c>
      <c r="G25" s="15" t="n">
        <v>100</v>
      </c>
      <c r="H25" s="15" t="n">
        <v>157.51</v>
      </c>
      <c r="I25" s="15" t="n">
        <v>4.39</v>
      </c>
      <c r="J25" s="15" t="n">
        <v>87.83</v>
      </c>
      <c r="K25" s="15" t="n">
        <v>87.83</v>
      </c>
      <c r="L25" s="16" t="n">
        <v>0.1217</v>
      </c>
      <c r="M25" s="16" t="n">
        <v>0.1217</v>
      </c>
      <c r="N25" s="15" t="n">
        <v>12.17</v>
      </c>
      <c r="O25" s="17" t="inlineStr">
        <is>
          <t>PASSED</t>
        </is>
      </c>
      <c r="P25" s="16" t="n">
        <v>0.8783</v>
      </c>
    </row>
    <row r="26">
      <c r="A26" s="12" t="n">
        <v>18</v>
      </c>
      <c r="B26" s="13" t="inlineStr">
        <is>
          <t>Analisis</t>
        </is>
      </c>
      <c r="C26" s="13" t="inlineStr">
        <is>
          <t>google/gemma-4-26b-a4b-it:free</t>
        </is>
      </c>
      <c r="D26" s="14" t="inlineStr">
        <is>
          <t>Mengapa kolaborasi lintas instansi penting dalam pemerintahan digital?</t>
        </is>
      </c>
      <c r="E26" s="14" t="inlineStr">
        <is>
          <t>Untuk menghindari fragmentasi sistem, berbagi data, dan menghasilkan layanan terpadu bagi masyarakat.</t>
        </is>
      </c>
      <c r="F26" s="14" t="inlineStr">
        <is>
          <t>Kolaborasi lintas instansi penting dalam pemerintahan digital karena:
1.  **Interoperabilitas Data:** Menghindari silo data (data terfragmentasi) agar data dapat saling berbagi pakai melalui Satu Data Indonesia.
2.  **Efisiensi Anggaran:** Mencegah duplikasi pembangunan aplikasi dan infrastruktur IT antar instansi pemerintah.
3.  **Integrasi Layanan:** Mewujudkan layanan publik yang terpadu (*seamless*) sehingga masyarakat tidak perlu mengulang input data yang sama (prinsip *Once-Only Principle*).
4.  **Efektivitas Kebijakan:** Mempercepat pengambilan keputusan berbasis data yang akurat dan komprehensif di tingkat nasional.
5.  **Kepatuhan Regulasi:** Merupakan amanat **Perpres No. 95 Tahun 2018 tentang SPBE** untuk menciptakan birokrasi yang ramping, efektif, dan terpercaya.</t>
        </is>
      </c>
      <c r="G26" s="15" t="n">
        <v>84.95</v>
      </c>
      <c r="H26" s="15" t="n">
        <v>6.91</v>
      </c>
      <c r="I26" s="15" t="n">
        <v>4.25</v>
      </c>
      <c r="J26" s="15" t="n">
        <v>84.95</v>
      </c>
      <c r="K26" s="15" t="n">
        <v>84.95</v>
      </c>
      <c r="L26" s="16" t="n">
        <v>0.1505</v>
      </c>
      <c r="M26" s="16" t="n">
        <v>0.1505</v>
      </c>
      <c r="N26" s="15" t="n">
        <v>15.05</v>
      </c>
      <c r="O26" s="18" t="inlineStr">
        <is>
          <t>FAILED</t>
        </is>
      </c>
      <c r="P26" s="16" t="n">
        <v>0.8495</v>
      </c>
    </row>
    <row r="27">
      <c r="A27" s="12" t="n">
        <v>19</v>
      </c>
      <c r="B27" s="13" t="inlineStr">
        <is>
          <t>Evaluatif</t>
        </is>
      </c>
      <c r="C27" s="13" t="inlineStr">
        <is>
          <t>google/gemma-4-26b-a4b-it:free</t>
        </is>
      </c>
      <c r="D27" s="14" t="inlineStr">
        <is>
          <t>Apa indikator umum keberhasilan sebuah reformasi birokrasi?</t>
        </is>
      </c>
      <c r="E27" s="14" t="inlineStr">
        <is>
          <t>Peningkatan kualitas pelayanan publik, akuntabilitas kinerja, efisiensi, dan kepercayaan masyarakat.</t>
        </is>
      </c>
      <c r="F27" s="14" t="inlineStr">
        <is>
          <t>Indikator umum keberhasilan Reformasi Birokrasi (RB) di Indonesia, berdasarkan regulasi yang berlaku, meliputi:
1.  **Akuntabilitas Kinerja:** Tercapainya target kinerja instansi yang telah ditetapkan dalam Perjanjian Kinerja.
2.s**Peningkatan Kualitas Pelayanan Publik:** Meningkatnya indeks kepuasan masyarakat terhadap layanan pemerintah.
3.  **Efisiensi dan Efektivitas Organisasi:** Penataan struktur organisasi yang tepat fungsi dan tepat ukuran (*rightsizing*) serta proses bisnis yang ramping.
4.s**Peningkatan Kualitas Regulasi:** Terciptanya regulasi yang tidak tumpang tindih dan mendukung kemudahan berusaha/investasi.
5.s**Integritas dan Budaya Kerja:** Penurunan tingkat korupsi (Indeks Persepsi Korupsi) dan penerapan nilai dasar ASN BerAKHLAK.
6.s**Digitalisasi Birokrasi (SPBE):** Terintegrasinya sistem pemerintahan berbasis elektronik guna mempercepat pelayanan dan pengambilan keputusan.</t>
        </is>
      </c>
      <c r="G27" s="15" t="n">
        <v>100</v>
      </c>
      <c r="H27" s="15" t="n">
        <v>323.03</v>
      </c>
      <c r="I27" s="15" t="n">
        <v>4.31</v>
      </c>
      <c r="J27" s="15" t="n">
        <v>86.09999999999999</v>
      </c>
      <c r="K27" s="15" t="n">
        <v>86.09999999999999</v>
      </c>
      <c r="L27" s="16" t="n">
        <v>0.139</v>
      </c>
      <c r="M27" s="16" t="n">
        <v>0.139</v>
      </c>
      <c r="N27" s="15" t="n">
        <v>13.9</v>
      </c>
      <c r="O27" s="17" t="inlineStr">
        <is>
          <t>PASSED</t>
        </is>
      </c>
      <c r="P27" s="16" t="n">
        <v>0.861</v>
      </c>
    </row>
    <row r="28">
      <c r="A28" s="12" t="n">
        <v>20</v>
      </c>
      <c r="B28" s="13" t="inlineStr">
        <is>
          <t>Analisis</t>
        </is>
      </c>
      <c r="C28" s="13" t="inlineStr">
        <is>
          <t>google/gemma-4-26b-a4b-it:free</t>
        </is>
      </c>
      <c r="D28" s="14" t="inlineStr">
        <is>
          <t>Apa perbedaan antara penilaian mandiri dan penilaian eksternal dalam evaluasi kinerja?</t>
        </is>
      </c>
      <c r="E28" s="14" t="inlineStr">
        <is>
          <t>Penilaian mandiri dilakukan internal organisasi; penilaian eksternal dilakukan pihak di luar organisasi untuk verifikasi.</t>
        </is>
      </c>
      <c r="F28" s="14" t="inlineStr">
        <is>
          <t>Sebagai ahli SPBE, berikut adalah perbedaan antara penilaian mandiri (*self-assessment*) dan penilaian eksternal dalam konteks evaluasi kinerja:
**1. Penilaian Mandiri (*Self-Assessment*)**
*   **Pelaksana:** Dilakukan oleh unit kerja atau instansi itu sendiri.
*   thought
*   **Tujuan:** Mengukur tingkat kematangan secara internal, mengidentifikasi gap secara dini, dan sebagai dasar persiapan evaluasi resmi.
*   **Sifat:** Subjektif (tergantung integritas data yang diinput oleh instansi).
**2. Penilaian Eksternal (Evaluasi oleh Tim Evaluator)**
*   Implementasi: Dilakukan oleh lembaga berwenang (conto-nya Kemenpan-RB untuk skala nasional).
*   **Tujuan:** Memberikan penilaian objektif, validasi data, dan penentuan skor akhir (level kematangan) yang sah.
*   **Sifat:** Objektif dan berbasis bukti (*evidence-based*) melalui audit atau verifikasi lapangan/dokumen.
**Ringkasan Perbedaan:**
| Aspek | Penilaian Mandiri | Penilaian Eksternal |
| :---**| :---**| :---**|
| **Pelaku** | Internal Instansi | Lembaga Independen/Pemerintah Pusat |
| **Sifat** | Reflektif &amp; Persiapan | Validasi &amp; Verifikasi |
| **Output** | Estimasi skor internal | Skor resmi/nasional |</t>
        </is>
      </c>
      <c r="G28" s="15" t="n">
        <v>100</v>
      </c>
      <c r="H28" s="15" t="n">
        <v>99.8</v>
      </c>
      <c r="I28" s="15" t="n">
        <v>4.38</v>
      </c>
      <c r="J28" s="15" t="n">
        <v>87.66</v>
      </c>
      <c r="K28" s="15" t="n">
        <v>87.66</v>
      </c>
      <c r="L28" s="16" t="n">
        <v>0.1234</v>
      </c>
      <c r="M28" s="16" t="n">
        <v>0.1234</v>
      </c>
      <c r="N28" s="15" t="n">
        <v>12.34</v>
      </c>
      <c r="O28" s="17" t="inlineStr">
        <is>
          <t>PASSED</t>
        </is>
      </c>
      <c r="P28" s="16" t="n">
        <v>0.8766</v>
      </c>
    </row>
    <row r="29">
      <c r="A29" s="12" t="n">
        <v>21</v>
      </c>
      <c r="B29" s="13" t="inlineStr">
        <is>
          <t>Analisis</t>
        </is>
      </c>
      <c r="C29" s="13" t="inlineStr">
        <is>
          <t>google/gemma-4-26b-a4b-it:free</t>
        </is>
      </c>
      <c r="D29" s="14" t="inlineStr">
        <is>
          <t>Bagaimana hubungan antara tata kelola data dan interoperabilitas data dalam mendukung penyelenggaraan pemerintah digital?</t>
        </is>
      </c>
      <c r="E29" s="14" t="inlineStr">
        <is>
          <t>Tata kelola data menetapkan standar pengelolaan data, sedangkan interoperabilitas data memungkinkan pertukaran data dan pemanfaatan data lintas sistem.</t>
        </is>
      </c>
      <c r="F29" s="14" t="inlineStr">
        <is>
          <t>Hubungan antara tata kelola data dan interoperabilitas data dalam SPBE adalah hubungan **fondasi dan mekanisme kerja**. Berikut adalah poin utamanya:
1.  **Tata Kelola Data sebagai Fondasi:** Tata kelola data (berdasarkan Perpres 39/2019) menetapkan aturan main mengenai hak akses, standar data, kualitas data, dan tanggung jawab (Data Steward/Custodian). Tanpa tata kelola, data akan terfragmentasi dan tidak valid.
2.    **Interoperabilitas sebagai Mekanisme:** Interoperabilitas adalah kemampuan sistem untuk saling berbagi data melalui standar yang sama. Interoperabilitas tidak dapat berjalan jika data tidak memiliki standar yang sama (akibat tata kelola yang buruk).
3.thought
Hubungan keduanya adalah: **Tata Kelola Data menyediakan "aturan dan standarisasi" (apa yang dibagi), sedangkan Interoperabilitas menyediakan "jalur dan konektivitas" (bagaimana cara membaginya).**
**Kesimpulan:** Tata kelola memastikan data **siap dan layak** untuk dibagikan, sedangkan interoperabilitas memastikan data tersebut **dapat mengalir** antar instansi untuk mewujudkan satu data pemerintah.</t>
        </is>
      </c>
      <c r="G29" s="15" t="n">
        <v>100</v>
      </c>
      <c r="H29" s="15" t="n">
        <v>45.47</v>
      </c>
      <c r="I29" s="15" t="n">
        <v>4.41</v>
      </c>
      <c r="J29" s="15" t="n">
        <v>88.23</v>
      </c>
      <c r="K29" s="15" t="n">
        <v>88.23</v>
      </c>
      <c r="L29" s="16" t="n">
        <v>0.1177</v>
      </c>
      <c r="M29" s="16" t="n">
        <v>0.1177</v>
      </c>
      <c r="N29" s="15" t="n">
        <v>11.77</v>
      </c>
      <c r="O29" s="17" t="inlineStr">
        <is>
          <t>PASSED</t>
        </is>
      </c>
      <c r="P29" s="16" t="n">
        <v>0.8823</v>
      </c>
    </row>
    <row r="30">
      <c r="A30" s="12" t="n">
        <v>22</v>
      </c>
      <c r="B30" s="13" t="inlineStr">
        <is>
          <t>Ekstraksi</t>
        </is>
      </c>
      <c r="C30" s="13" t="inlineStr">
        <is>
          <t>google/gemma-4-26b-a4b-it:free</t>
        </is>
      </c>
      <c r="D30" s="14" t="inlineStr">
        <is>
          <t>Sebutkan 4 indikator yang termasuk dalam Aspek Data pada Indeks Pemdi.</t>
        </is>
      </c>
      <c r="E30" s="14" t="inlineStr">
        <is>
          <t>Tata Kelola Data, Penyelenggaraan Informasi Geospasial, Pembangunan Statistik, Pelindungan Data Pribadi.</t>
        </is>
      </c>
      <c r="F30" s="14" t="inlineStr">
        <is>
          <t>Berdasarkan Peraturan Presiden Nomor 95 Tahun 2018 tentang Sistem Pemerintahan Berbasis Elektronik (SPBE), 4 indikator dalam **Aspek Data** adalah:
1. **Perencanaan Data**
2. **Tata Kelola Data**
3. **Interoperabilitas Data**
4. **Keamanan Data**</t>
        </is>
      </c>
      <c r="G30" s="15" t="n">
        <v>100</v>
      </c>
      <c r="H30" s="15" t="n">
        <v>270.88</v>
      </c>
      <c r="I30" s="15" t="n">
        <v>4.37</v>
      </c>
      <c r="J30" s="15" t="n">
        <v>87.41</v>
      </c>
      <c r="K30" s="15" t="n">
        <v>87.41</v>
      </c>
      <c r="L30" s="16" t="n">
        <v>0.1259</v>
      </c>
      <c r="M30" s="16" t="n">
        <v>0.1259</v>
      </c>
      <c r="N30" s="15" t="n">
        <v>12.59</v>
      </c>
      <c r="O30" s="17" t="inlineStr">
        <is>
          <t>PASSED</t>
        </is>
      </c>
      <c r="P30" s="16" t="n">
        <v>0.8741</v>
      </c>
    </row>
    <row r="31">
      <c r="A31" s="12" t="n">
        <v>23</v>
      </c>
      <c r="B31" s="13" t="inlineStr">
        <is>
          <t>Faktual</t>
        </is>
      </c>
      <c r="C31" s="13" t="inlineStr">
        <is>
          <t>google/gemma-4-26b-a4b-it:free</t>
        </is>
      </c>
      <c r="D31" s="14" t="inlineStr">
        <is>
          <t>Bagaimana AI dapat dimanfaatkan untuk meningkatkan kualitas layanan publik?</t>
        </is>
      </c>
      <c r="E31" s="14" t="inlineStr">
        <is>
          <t>Membantu otomatisasi layanan, analisis data, dan penyediaan informasi yang lebih cepat dan akurat.</t>
        </is>
      </c>
      <c r="F31" s="14" t="inlineStr">
        <is>
          <t>Pemanfaatan AI untuk meningkatkan kualitas layanan publik dalam kerangka SPBE dapat dilakukan melalui:
1.  **Otomasi Layanan (Chatbot/Virtual Assistant):** Menyediakan layanan tanya-jawab 24/7 untuk menjawab pertanyaan masyarakat terkait prosedur administrasi secara cepat dan efisien.
2.  **Personalisasi Layanan:** Menganalisis data untuk memberikan rekomendasi layanan atau informasi yang relevan sesuai dengan profil dan kebutuhan spesifik pengguna (citizen-centric).
3.  **Efisiensi Proses Bisnis:** Mengotomatiskan verifikasi dokumen digital dan klasifikasi data untuk mempercepat waktu pemrosesan permohonan layanan pemerintah.
4.  **Analisis Prediktif (Predictive Analytics):** Mengolah data besar (*Big Data*) untuk memprediksi tren kebutuhan masyarakat (misalnya: lonjakan kebutuhan bansos atau kemacetan) guna pengambilan kebijakan berbasis data (*data-driven policy*).
5.  **Deteksi Anomali dan Keamanan:** Meningkatkan sistem keamanan siber melalui deteksi dini terhadap pola serangan atau anomali data untuk menjaga integritas data pemerintah.
**Prinsip Utama:** Implementasi AI dalam SPBE wajib tetap mengedepankan aspek **etika, privasi data, dan akuntabilitas** sesuai dengan regulasi perlindungan data pribadi.</t>
        </is>
      </c>
      <c r="G31" s="15" t="n">
        <v>100</v>
      </c>
      <c r="H31" s="15" t="n">
        <v>12.18</v>
      </c>
      <c r="I31" s="15" t="n">
        <v>4.26</v>
      </c>
      <c r="J31" s="15" t="n">
        <v>85.26000000000001</v>
      </c>
      <c r="K31" s="15" t="n">
        <v>85.26000000000001</v>
      </c>
      <c r="L31" s="16" t="n">
        <v>0.1474</v>
      </c>
      <c r="M31" s="16" t="n">
        <v>0.1474</v>
      </c>
      <c r="N31" s="15" t="n">
        <v>14.74</v>
      </c>
      <c r="O31" s="17" t="inlineStr">
        <is>
          <t>PASSED</t>
        </is>
      </c>
      <c r="P31" s="16" t="n">
        <v>0.8526</v>
      </c>
    </row>
    <row r="32">
      <c r="A32" s="12" t="n">
        <v>24</v>
      </c>
      <c r="B32" s="13" t="inlineStr">
        <is>
          <t>Analisis</t>
        </is>
      </c>
      <c r="C32" s="13" t="inlineStr">
        <is>
          <t>google/gemma-4-26b-a4b-it:free</t>
        </is>
      </c>
      <c r="D32" s="14" t="inlineStr">
        <is>
          <t>Mengapa data berkualitas penting dalam proses perumusan kebijakan?</t>
        </is>
      </c>
      <c r="E32" s="14" t="inlineStr">
        <is>
          <t>Karena kebijakan yang baik harus didasarkan pada data yang akurat, lengkap, dan terpercaya</t>
        </is>
      </c>
      <c r="F32" s="14" t="inlineStr">
        <is>
          <t>Data berkualitas penting dalam perumusan kebijakan karena:
1.  **Akurasi Pengambilan Keputusan:** Menjamin kebijakan didasarkan pada fakta nyata (*evidence-based policy*), bukan asumsi atau intuisi, guna meminimalkan risiko kesalahan kebijakan.
2.  **Efektivitas dan Efisiensi:** Memastikan alokasi sumber daya (anggaran, personel, waktu) tepat sasaran dan sesuai dengan kebutuhan riil masyarakat.
3.  **Prediktabilitas dan Mitigasi Risiko:** Memungkinkan pemerintah memproyeksikan dampak kebijakan di masa depan secara lebih akurat serta mengantisipasi dampak negatif yang mungkin timbul.
4.  **Akuntabilitas dan Transparansi:** Mendukung keterbukaan informasi publik dan dapat dipertanggungjawabkan secara ilmiah maupun administratif, yang merupakan esensi dari tata kelola pemerintahan yang baik (*good governance*).</t>
        </is>
      </c>
      <c r="G32" s="15" t="n">
        <v>100</v>
      </c>
      <c r="H32" s="15" t="n">
        <v>5.34</v>
      </c>
      <c r="I32" s="15" t="n">
        <v>4.35</v>
      </c>
      <c r="J32" s="15" t="n">
        <v>86.98999999999999</v>
      </c>
      <c r="K32" s="15" t="n">
        <v>86.98999999999999</v>
      </c>
      <c r="L32" s="16" t="n">
        <v>0.1301</v>
      </c>
      <c r="M32" s="16" t="n">
        <v>0.1301</v>
      </c>
      <c r="N32" s="15" t="n">
        <v>13.01</v>
      </c>
      <c r="O32" s="17" t="inlineStr">
        <is>
          <t>PASSED</t>
        </is>
      </c>
      <c r="P32" s="16" t="n">
        <v>0.8699</v>
      </c>
    </row>
    <row r="33">
      <c r="A33" s="12" t="n">
        <v>25</v>
      </c>
      <c r="B33" s="13" t="inlineStr">
        <is>
          <t>Faktual</t>
        </is>
      </c>
      <c r="C33" s="13" t="inlineStr">
        <is>
          <t>google/gemma-4-26b-a4b-it:free</t>
        </is>
      </c>
      <c r="D33" s="14" t="inlineStr">
        <is>
          <t>Secara umum, apa fungsi metadata dalam tata kelola data?</t>
        </is>
      </c>
      <c r="E33" s="14" t="inlineStr">
        <is>
          <t>Menjelaskan konteks, struktur, dan makna data agar mudah ditemukan, dipahami, dan digunakan ulang.</t>
        </is>
      </c>
      <c r="F33" s="14" t="inlineStr">
        <is>
          <t>Secara umum, fungsi metadata dalam tata kelola data adalah sebagai **informasi kontekstual** untuk mengelola, mengidentifikasi, dan menemukan data secara efisien.
Secara spesifik, fungsinya meliputi:
1.  **Konteks Data:** Menjelaskan makna, asal-usul (*provenance*), dan karakteristik data.
2.  **Interoperabilitas:** Memudahkan pertukaran dan integrasi data antar sistem/instansi.
3.  &lt;channel|&gt;**Discovery:** Mempermudah pencarian dan temu balik data.
4.  **Kontrol Kualitas:** Menjamin akurasi, konsistensi, dan validitas data.
5.  **Keamanan &amp; Kepatuhan:** Menunjukkan hak akses, klasifikasi kerahasiaan, dan memastikan kepatuhan terhadap regulasi (seperti UU PDP).</t>
        </is>
      </c>
      <c r="G33" s="15" t="n">
        <v>100</v>
      </c>
      <c r="H33" s="15" t="n">
        <v>240.86</v>
      </c>
      <c r="I33" s="15" t="n">
        <v>4.26</v>
      </c>
      <c r="J33" s="15" t="n">
        <v>85.27</v>
      </c>
      <c r="K33" s="15" t="n">
        <v>85.27</v>
      </c>
      <c r="L33" s="16" t="n">
        <v>0.1473</v>
      </c>
      <c r="M33" s="16" t="n">
        <v>0.1473</v>
      </c>
      <c r="N33" s="15" t="n">
        <v>14.73</v>
      </c>
      <c r="O33" s="17" t="inlineStr">
        <is>
          <t>PASSED</t>
        </is>
      </c>
      <c r="P33" s="16" t="n">
        <v>0.8527</v>
      </c>
    </row>
    <row r="34">
      <c r="A34" s="12" t="n">
        <v>26</v>
      </c>
      <c r="B34" s="13" t="inlineStr">
        <is>
          <t>Faktual</t>
        </is>
      </c>
      <c r="C34" s="13" t="inlineStr">
        <is>
          <t>google/gemma-4-26b-a4b-it:free</t>
        </is>
      </c>
      <c r="D34" s="14" t="inlineStr">
        <is>
          <t>Apa yang dimaksud dengan layanan publik berbasis siklus hidup (life event)?</t>
        </is>
      </c>
      <c r="E34" s="14" t="inlineStr">
        <is>
          <t>Layanan yang dirancang mengikuti peristiwa hidup warga (lahir, sekolah, kerja, dsb.) bukan per-instansi.</t>
        </is>
      </c>
      <c r="F34" s="14" t="inlineStr">
        <is>
          <t>**Layanan publik berbasis siklus hidup (*life event*)** adalah pendekatan integrasi layanan pemerintah yang didasarkan pada tahapan atau peristiwa penting dalam kehidupan warga negara (seperti kelahiran, pernikahan, pendidikan, pekerjaan, hingga kematian), bukan berdasarkan sekat instansi atau aplikasi.
**Karakteristik Utama:**
1.  **Berorientasi Pengguna:** Fokus pada kebutuhan warga saat peristiwa terjadi, bukan pada struktur organisasi pemerintah.
2. **Interoperabilitas:** Data antar instansi saling terintegrasi sehingga warga tidak perlu mengulang input data yang sama untuk peristiwa yang sama.
3. **Single Sign-On/Single Interface:** Cukup melalui satu pintu layanan untuk menyelesaikan berbagai urusan terkait satu peristiwa tersebut.
**Contoh:** 
Ketika terjadi peristiwa **Kelahiran**, warga cukup melapor satu kali, dan sistem secara otomatis memproses akta kelahiran, menambah anggota keluarga di Kartu Keluarga, dan mendaftarkan anak ke jaminan kesehatan (BPJS).</t>
        </is>
      </c>
      <c r="G34" s="15" t="n">
        <v>100</v>
      </c>
      <c r="H34" s="15" t="n">
        <v>308.16</v>
      </c>
      <c r="I34" s="15" t="n">
        <v>4.36</v>
      </c>
      <c r="J34" s="15" t="n">
        <v>87.25</v>
      </c>
      <c r="K34" s="15" t="n">
        <v>87.25</v>
      </c>
      <c r="L34" s="16" t="n">
        <v>0.1275</v>
      </c>
      <c r="M34" s="16" t="n">
        <v>0.1275</v>
      </c>
      <c r="N34" s="15" t="n">
        <v>12.75</v>
      </c>
      <c r="O34" s="17" t="inlineStr">
        <is>
          <t>PASSED</t>
        </is>
      </c>
      <c r="P34" s="16" t="n">
        <v>0.8725000000000001</v>
      </c>
    </row>
    <row r="35">
      <c r="A35" s="12" t="n">
        <v>27</v>
      </c>
      <c r="B35" s="13" t="inlineStr">
        <is>
          <t>Analisis</t>
        </is>
      </c>
      <c r="C35" s="13" t="inlineStr">
        <is>
          <t>google/gemma-4-26b-a4b-it:free</t>
        </is>
      </c>
      <c r="D35" s="14" t="inlineStr">
        <is>
          <t>Mengapa pengukuran berbasis indeks digunakan dalam evaluasi pemerintahan?</t>
        </is>
      </c>
      <c r="E35" s="14" t="inlineStr">
        <is>
          <t>Untuk menstandarkan penilaian, membandingkan antarinstansi, dan memantau kemajuan secara objektif.</t>
        </is>
      </c>
      <c r="F35" s="14" t="inlineStr">
        <is>
          <t>Pengukuran berbasis indeks digunakan dalam evaluasi pemerintahan karena:
1.  **Standarisasi Objektif:** Memberikan standar penilaian yang sama untuk membandingkan kinerja antar instansi pemerintah.
2.  **Visualisasi Kinerja:** Menyederhanakan data kompleks menjadi angka/skor yang mudah dipahami (misalnya: Indeks SPBE).
3.  **Pemetaan Kemampuan:** Memudahkan identifikasi tingkat kematangan (*maturity level*) dan area mana yang memerlukan perbaikan.
4.  **Dasar Pengambilan Kebijakan:** Menyediakan data kuantitatif yang akurat sebagai landasan perencanaan dan alokasi sumber daya pemerintah.</t>
        </is>
      </c>
      <c r="G35" s="15" t="n">
        <v>100</v>
      </c>
      <c r="H35" s="15" t="n">
        <v>5.14</v>
      </c>
      <c r="I35" s="15" t="n">
        <v>4.39</v>
      </c>
      <c r="J35" s="15" t="n">
        <v>87.84</v>
      </c>
      <c r="K35" s="15" t="n">
        <v>87.84</v>
      </c>
      <c r="L35" s="16" t="n">
        <v>0.1216</v>
      </c>
      <c r="M35" s="16" t="n">
        <v>0.1216</v>
      </c>
      <c r="N35" s="15" t="n">
        <v>12.16</v>
      </c>
      <c r="O35" s="17" t="inlineStr">
        <is>
          <t>PASSED</t>
        </is>
      </c>
      <c r="P35" s="16" t="n">
        <v>0.8784</v>
      </c>
    </row>
    <row r="36">
      <c r="A36" s="12" t="n">
        <v>28</v>
      </c>
      <c r="B36" s="13" t="inlineStr">
        <is>
          <t>Evaluatif</t>
        </is>
      </c>
      <c r="C36" s="13" t="inlineStr">
        <is>
          <t>google/gemma-4-26b-a4b-it:free</t>
        </is>
      </c>
      <c r="D36" s="14" t="inlineStr">
        <is>
          <t>Apa manfaat audit keamanan informasi yang dilakukan secara berkala?</t>
        </is>
      </c>
      <c r="E36" s="14" t="inlineStr">
        <is>
          <t>Mengidentifikasi kerentanan, memastikan kepatuhan kontrol, dan mendorong perbaikan berkelanjutan.</t>
        </is>
      </c>
      <c r="F36" s="14" t="inlineStr">
        <is>
          <t>Sebagai ahli SPBE, berikut adalah manfaat utama audit keamanan informasi yang dilakukan secara berkala:
1.  **Identifikasi Kerentanan:** Menemukan celah keamanan pada infrastruktur, aplikasi, dan jaringan sebelum dieksploitasi pihak yang tidak bertanggung jawab.
2.  **Mitigasi Risiko:** Mengukur efektivitas kontrol keamanan yang ada dan memastikan risiko keamanan dapat dikelola sesuai tingkat toleransi organisasi.
3.  **Kepatuhan Regulasi (Compliance):** Memastikan tata kelola teknologi informasi selaras dengan standar nasional (seperti ISO/IEC 27001 atau regulasi terkait SPBE) dan peraturan perundang-undangan yang berlaku.
4._ **Evaluasi Kontrol Keamanan:** Menilai apakah kebijakan, prosedur, dan teknologi keamanan yang diterapkan masih relevan dan efektif menghadapi ancaman siber yang terus berkembang.
5.  **Peningkatan Berkelanjutan (Continuous Improvement):** Memberikan dasar data yang objektif untuk melakukan perbaikan sistem, efisiensi anggaran keamanan, dan penguatan postur keamanan informasi secara berkelanjutan.</t>
        </is>
      </c>
      <c r="G36" s="15" t="n">
        <v>100</v>
      </c>
      <c r="H36" s="15" t="n">
        <v>73.37</v>
      </c>
      <c r="I36" s="15" t="n">
        <v>4.3</v>
      </c>
      <c r="J36" s="15" t="n">
        <v>86.09</v>
      </c>
      <c r="K36" s="15" t="n">
        <v>86.09</v>
      </c>
      <c r="L36" s="16" t="n">
        <v>0.1391</v>
      </c>
      <c r="M36" s="16" t="n">
        <v>0.1391</v>
      </c>
      <c r="N36" s="15" t="n">
        <v>13.91</v>
      </c>
      <c r="O36" s="17" t="inlineStr">
        <is>
          <t>PASSED</t>
        </is>
      </c>
      <c r="P36" s="16" t="n">
        <v>0.8609</v>
      </c>
    </row>
    <row r="37">
      <c r="A37" s="12" t="n">
        <v>29</v>
      </c>
      <c r="B37" s="13" t="inlineStr">
        <is>
          <t>Faktual</t>
        </is>
      </c>
      <c r="C37" s="13" t="inlineStr">
        <is>
          <t>google/gemma-4-26b-a4b-it:free</t>
        </is>
      </c>
      <c r="D37" s="14" t="inlineStr">
        <is>
          <t>Jelaskan konsep 'human-based governance' secara umum.</t>
        </is>
      </c>
      <c r="E37" s="14" t="inlineStr">
        <is>
          <t>Tata kelola yang berorientasi pada kebutuhan dan dampak nyata bagi manusia/pengguna layanan.</t>
        </is>
      </c>
      <c r="F37" s="14" t="inlineStr">
        <is>
          <t>**Human-based Governance** adalah pendekatan tata kelola yang menempatkan **manusia (SDM)** sebagai elemen sentral dalam penggerak sistem, baik sebagai pengambil keputusan, pengelola, maupun penerima layanan.
Dalam konteks tata kelola (termasuk SPBE), konsep ini menekankan bahwa teknologi hanyalah alat (*enabler*), sedangkan keberhasilan sistem sangat bergantung pada:
1.  **Kompetensi:** Kecakapan aparatur dalam mengoperasikan teknologi.
2.thought **Etika &amp; Budaya:** Integritas dan budaya kerja digital dalam menjalankan proses bisnis.
3.kan **Decision Making:** Pengambilan keputusan tetap berbasis pada penilaian manusia (*human judgment*) yang didukung oleh data, bukan sekadar otomasi penuh.
4.  **User-Centric:** Desain tata kelola yang berorientasi pada kebutuhan dan kemudahan manusia (masyarakat dan ASN).
**Intinya:** Teknologi mempercepat proses, namun manusia yang menentukan arah, validitas, dan aspek etis dari tata kelola tersebut.</t>
        </is>
      </c>
      <c r="G37" s="15" t="n">
        <v>84.90000000000001</v>
      </c>
      <c r="H37" s="15" t="n">
        <v>54.56</v>
      </c>
      <c r="I37" s="15" t="n">
        <v>4.24</v>
      </c>
      <c r="J37" s="15" t="n">
        <v>84.90000000000001</v>
      </c>
      <c r="K37" s="15" t="n">
        <v>84.90000000000001</v>
      </c>
      <c r="L37" s="16" t="n">
        <v>0.151</v>
      </c>
      <c r="M37" s="16" t="n">
        <v>0.151</v>
      </c>
      <c r="N37" s="15" t="n">
        <v>15.1</v>
      </c>
      <c r="O37" s="18" t="inlineStr">
        <is>
          <t>FAILED</t>
        </is>
      </c>
      <c r="P37" s="16" t="n">
        <v>0.849</v>
      </c>
    </row>
    <row r="38">
      <c r="A38" s="12" t="n">
        <v>30</v>
      </c>
      <c r="B38" s="13" t="inlineStr">
        <is>
          <t>Analisis</t>
        </is>
      </c>
      <c r="C38" s="13" t="inlineStr">
        <is>
          <t>google/gemma-4-26b-a4b-it:free</t>
        </is>
      </c>
      <c r="D38" s="14" t="inlineStr">
        <is>
          <t>Apa peran kepemimpinan digital (digital leadership) dalam transformasi instansi?</t>
        </is>
      </c>
      <c r="E38" s="14" t="inlineStr">
        <is>
          <t>Mengarahkan visi, budaya, dan keputusan strategis agar transformasi digital berjalan efektif.</t>
        </is>
      </c>
      <c r="F38" s="14" t="inlineStr">
        <is>
          <t>Sebagai ahli SPBE, peran **Kepemimpinan Digital (*Digital Leadership*)** dalam transformasi instansi adalah sebagai **penggerak utama (*driver*)** yang menjembatani antara strategi teknologi dengan tujuan organisasi.
Secara spesifik, perannya meliputi:
1.  **Penentu Arah Strategis:** Menyusun visi dan peta jalan (*roadmap*) digital yang selaras dengan rencana strategis instansi dan kerangka kerja SPB.
2.  **Pengambil Keputusan Berbasis Data:** Mendorong budaya pengambilan keputusan berdasarkan data (*data-driven decision making*) melalui integrasi data (Satu Data Indonesia).
3.alokasi Sumber Daya:** Menjamin ketersediaan anggaran, infrastruktur, dan sumber daya manusia (SDM) yang kompeten untuk mendukung digitalisasi.
4.  **Manajemen Perubahan (*Change Management*):** Mengatasi resistensi budaya kerja konvensional menuju budaya kerja digital yang adaptif, kolaboratif, dan lincah (*agile*).
5.  **Penjamin Tata Kelola:** Memastikan implementasi SPBE berjalan sesuai regulasi, menjaga keamanan informasi, dan mengedepankan interoperabilitas antar sistem/aplikasi.
**Intinya:** Tanpa kepemimpinan digital, transformasi hanya akan menjadi sekadar "digitalisasi dokumen" (pengadaan perangkat/aplikasi) tanpa perubahan pada nilai dan efisiensi layanan publik.</t>
        </is>
      </c>
      <c r="G38" s="15" t="n">
        <v>100</v>
      </c>
      <c r="H38" s="15" t="n">
        <v>88.36</v>
      </c>
      <c r="I38" s="15" t="n">
        <v>4.37</v>
      </c>
      <c r="J38" s="15" t="n">
        <v>87.48</v>
      </c>
      <c r="K38" s="15" t="n">
        <v>87.48</v>
      </c>
      <c r="L38" s="16" t="n">
        <v>0.1252</v>
      </c>
      <c r="M38" s="16" t="n">
        <v>0.1252</v>
      </c>
      <c r="N38" s="15" t="n">
        <v>12.52</v>
      </c>
      <c r="O38" s="17" t="inlineStr">
        <is>
          <t>PASSED</t>
        </is>
      </c>
      <c r="P38" s="16" t="n">
        <v>0.8748</v>
      </c>
    </row>
    <row r="39">
      <c r="A39" s="12" t="n">
        <v>31</v>
      </c>
      <c r="B39" s="13" t="inlineStr">
        <is>
          <t>Ekstraksi</t>
        </is>
      </c>
      <c r="C39" s="13" t="inlineStr">
        <is>
          <t>google/gemma-4-26b-a4b-it:free</t>
        </is>
      </c>
      <c r="D39" s="14" t="inlineStr">
        <is>
          <t>Sebutkan dua tujuan utama visitasi atau observasi lapangan dalam evaluasi Pemdi.</t>
        </is>
      </c>
      <c r="E39" s="14" t="inlineStr">
        <is>
          <t>Memvalidasi bukti yang disampaikan dan mengonfirmasi kondisi implementasi di lapangan.</t>
        </is>
      </c>
      <c r="F39" s="14" t="inlineStr">
        <is>
          <t>Dua tujuan utama visitasi atau observasi lapangan dalam evaluasi SPBE adalah:
1. **Verifikasi dan Validasi Data:** Memastikan kesesuaian antara data/dokumen yang diunggah dalam instrumen evaluasi dengan kondisi riil (fakta) di lapangan.
2. **Pendalaman Bukti Dukung:** Menggali informasi lebih mendalam dan mengonfirmasi bukti fisik/implementasi sistem yang tidak dapat teramati sepenuhnya melalui pengisian kuesioner atau dokumen digital.</t>
        </is>
      </c>
      <c r="G39" s="15" t="n">
        <v>100</v>
      </c>
      <c r="H39" s="15" t="n">
        <v>4.26</v>
      </c>
      <c r="I39" s="15" t="n">
        <v>4.46</v>
      </c>
      <c r="J39" s="15" t="n">
        <v>89.3</v>
      </c>
      <c r="K39" s="15" t="n">
        <v>89.3</v>
      </c>
      <c r="L39" s="16" t="n">
        <v>0.107</v>
      </c>
      <c r="M39" s="16" t="n">
        <v>0.107</v>
      </c>
      <c r="N39" s="15" t="n">
        <v>10.7</v>
      </c>
      <c r="O39" s="17" t="inlineStr">
        <is>
          <t>PASSED</t>
        </is>
      </c>
      <c r="P39" s="16" t="n">
        <v>0.893</v>
      </c>
    </row>
    <row r="40">
      <c r="A40" s="12" t="n">
        <v>32</v>
      </c>
      <c r="B40" s="13" t="inlineStr">
        <is>
          <t>Analisis</t>
        </is>
      </c>
      <c r="C40" s="13" t="inlineStr">
        <is>
          <t>google/gemma-4-26b-a4b-it:free</t>
        </is>
      </c>
      <c r="D40" s="14" t="inlineStr">
        <is>
          <t>Mengapa redundansi data antarinstansi dianggap masalah dalam pemerintahan?</t>
        </is>
      </c>
      <c r="E40" s="14" t="inlineStr">
        <is>
          <t>Menyebabkan inkonsistensi, pemborosan, dan menyulitkan integrasi layanan.</t>
        </is>
      </c>
      <c r="F40" s="14" t="inlineStr">
        <is>
          <t>Redundansi data antarinstansi dianggap masalah karena:
1.  **Inefisiensi Anggaran:** Pemborosan biaya pengadaan infrastruktur, perangkat lunak, dan pemeliharaan untuk data yang sama.
2.  **Ketidakakuratan Data (Data Silos):** Risiko perbedaan data (*data inconsistency*) antarinstansi yang menyebabkan pengambilan keputusan pemerintah tidak akurat.
3.  **Integritas Data Rendah:** Sulitnya menjaga validitas dan pemutakhiran data jika terjadi perubahan di salah satu instansi namun tidak sinkron di instansi lain.
4.  **Hambatan Interoperabilitas:** Menghambat integrasi layanan publik karena data tidak terstandarisasi dan tersebar di berbagai sistem yang tidak saling berkomunikasi.
5.  **Pelayanan Publik Lambat:** Masyarakat harus melakukan input data yang sama berulang kali pada aplikasi yang berbeda (tidak efisien).
**Dasar Regulasi:** Perpres No. 95 Tahun 2018 tentang Sistem Pemerintahan Berbasis Elektronik (SPBE) yang menekankan pentingnya integrasi data melalui **Satu Data Indonesia**.</t>
        </is>
      </c>
      <c r="G40" s="15" t="n">
        <v>100</v>
      </c>
      <c r="H40" s="15" t="n">
        <v>9.449999999999999</v>
      </c>
      <c r="I40" s="15" t="n">
        <v>4.36</v>
      </c>
      <c r="J40" s="15" t="n">
        <v>87.17</v>
      </c>
      <c r="K40" s="15" t="n">
        <v>87.17</v>
      </c>
      <c r="L40" s="16" t="n">
        <v>0.1283</v>
      </c>
      <c r="M40" s="16" t="n">
        <v>0.1283</v>
      </c>
      <c r="N40" s="15" t="n">
        <v>12.83</v>
      </c>
      <c r="O40" s="17" t="inlineStr">
        <is>
          <t>PASSED</t>
        </is>
      </c>
      <c r="P40" s="16" t="n">
        <v>0.8717</v>
      </c>
    </row>
    <row r="41">
      <c r="A41" s="12" t="n">
        <v>33</v>
      </c>
      <c r="B41" s="13" t="inlineStr">
        <is>
          <t>Faktual</t>
        </is>
      </c>
      <c r="C41" s="13" t="inlineStr">
        <is>
          <t>google/gemma-4-26b-a4b-it:free</t>
        </is>
      </c>
      <c r="D41" s="14" t="inlineStr">
        <is>
          <t>Apa fungsi forum data dalam koordinasi antar-unit penyelenggara?</t>
        </is>
      </c>
      <c r="E41" s="14" t="inlineStr">
        <is>
          <t>Wadah koordinasi untuk menyepakati standar, berbagi pakai, dan pemanfaatan data.</t>
        </is>
      </c>
      <c r="F41" s="14" t="inlineStr">
        <is>
          <t>Fungsi forum data dalam koordinasi antar-unit penyelenggara adalah:
1.  **Sinkronisasi dan Harmonisasi:** Menyelaraskan perbedaan format, standar, dan struktur data antar unit agar selaras.
2.  - **Integrasi Data:** Memastikan data dapat dibagikan dan dipertukarkan antar unit melalui interoperabilitas.
3.  **Validasi dan Verifikasi:** Menjamin kualitas, keakuratan, dan keabsahan data yang akan digunakan bersama.
4.  **Resolusi Konflik Data:** Menyelesaikan perbedaan atau duplikasi data antar unit penyelenggara.
5.  **Pengambilan Keputusan Berbasis Data:** Menjamin ketersediaan data yang akurat untuk kebijakan lintas unit.</t>
        </is>
      </c>
      <c r="G41" s="15" t="n">
        <v>100</v>
      </c>
      <c r="H41" s="15" t="n">
        <v>144.39</v>
      </c>
      <c r="I41" s="15" t="n">
        <v>4.44</v>
      </c>
      <c r="J41" s="15" t="n">
        <v>88.73</v>
      </c>
      <c r="K41" s="15" t="n">
        <v>88.73</v>
      </c>
      <c r="L41" s="16" t="n">
        <v>0.1127</v>
      </c>
      <c r="M41" s="16" t="n">
        <v>0.1127</v>
      </c>
      <c r="N41" s="15" t="n">
        <v>11.27</v>
      </c>
      <c r="O41" s="17" t="inlineStr">
        <is>
          <t>PASSED</t>
        </is>
      </c>
      <c r="P41" s="16" t="n">
        <v>0.8873</v>
      </c>
    </row>
    <row r="42">
      <c r="A42" s="12" t="n">
        <v>34</v>
      </c>
      <c r="B42" s="13" t="inlineStr">
        <is>
          <t>Faktual</t>
        </is>
      </c>
      <c r="C42" s="13" t="inlineStr">
        <is>
          <t>google/gemma-4-26b-a4b-it:free</t>
        </is>
      </c>
      <c r="D42" s="14" t="inlineStr">
        <is>
          <t>Secara umum, apa itu manajemen risiko pada layanan digital?</t>
        </is>
      </c>
      <c r="E42" s="14" t="inlineStr">
        <is>
          <t>Proses mengidentifikasi, menilai, dan mengendalikan risiko terhadap keberlangsungan layanan.</t>
        </is>
      </c>
      <c r="F42" s="14" t="inlineStr">
        <is>
          <t>Dalam konteks SPBE, **manajemen risiko pada layanan digital** adalah proses sistematis untuk mengidentifikasi, menganalisis, mengevaluasi, serta memitigasi ketidakpastian yang dapat menghambat pencapaian tujuan layanan digital.
Fokus utamanya meliputi:
1. **Keamanan Informasi:** Perlindungan data dari akses ilegal atau kebocoran.
2.- **Keberlangsungan Layanan:** Menjamin layanan tetap berjalan (high availability) meski terjadi gangguan teknis atau bencana.
3. **Kepatuhan Regulasi:** Memastikan operasional sesuai dengan peraturan perundang-undangan yang berlaku.
4. **Integritas Data:** Menjaga keakuratan dan validitas data dalam proses digital.</t>
        </is>
      </c>
      <c r="G42" s="15" t="n">
        <v>100</v>
      </c>
      <c r="H42" s="15" t="n">
        <v>48.41</v>
      </c>
      <c r="I42" s="15" t="n">
        <v>4.39</v>
      </c>
      <c r="J42" s="15" t="n">
        <v>87.84999999999999</v>
      </c>
      <c r="K42" s="15" t="n">
        <v>87.84999999999999</v>
      </c>
      <c r="L42" s="16" t="n">
        <v>0.1215</v>
      </c>
      <c r="M42" s="16" t="n">
        <v>0.1215</v>
      </c>
      <c r="N42" s="15" t="n">
        <v>12.15</v>
      </c>
      <c r="O42" s="17" t="inlineStr">
        <is>
          <t>PASSED</t>
        </is>
      </c>
      <c r="P42" s="16" t="n">
        <v>0.8784999999999999</v>
      </c>
    </row>
    <row r="43">
      <c r="A43" s="12" t="n">
        <v>35</v>
      </c>
      <c r="B43" s="13" t="inlineStr">
        <is>
          <t>Faktual</t>
        </is>
      </c>
      <c r="C43" s="13" t="inlineStr">
        <is>
          <t>google/gemma-4-26b-a4b-it:free</t>
        </is>
      </c>
      <c r="D43" s="14" t="inlineStr">
        <is>
          <t>Apa yang dimaksud dengan manajemen perubahan dalam organisasi digital?</t>
        </is>
      </c>
      <c r="E43" s="14" t="inlineStr">
        <is>
          <t>Pendekatan terstruktur mengelola transisi orang, proses, dan teknologi agar perubahan berhasil diadopsi.</t>
        </is>
      </c>
      <c r="F43" s="14" t="inlineStr">
        <is>
          <t>Dalam konteks organisasi digital, **Manajemen Perubahan** adalah upaya terstruktur untuk mengelola transisi dari budaya kerja konvensional menuju budaya kerja berbasis digital.
Tujuannya adalah untuk meminimalkan resistensi (penolakan) pegawai terhadap teknologi baru dan memastikan adopsi sistem digital berjalan efektif guna mencapai tujuan strategis organisasi.
**Fokus utama meliputi:**
1. **People (Manusia):** Mengubah pola pikir (*mindset*) dan perilaku pegawai.
2. k**Process (Proses):** Menyesuaikan alur kerja (SOP) agar selaras dengan sistem digital.
3. **Culture (Budaya):** Membangun budaya kerja yang berbasis data dan lincah (*agile*).</t>
        </is>
      </c>
      <c r="G43" s="15" t="n">
        <v>100</v>
      </c>
      <c r="H43" s="15" t="n">
        <v>24.26</v>
      </c>
      <c r="I43" s="15" t="n">
        <v>4.36</v>
      </c>
      <c r="J43" s="15" t="n">
        <v>87.14</v>
      </c>
      <c r="K43" s="15" t="n">
        <v>87.14</v>
      </c>
      <c r="L43" s="16" t="n">
        <v>0.1286</v>
      </c>
      <c r="M43" s="16" t="n">
        <v>0.1286</v>
      </c>
      <c r="N43" s="15" t="n">
        <v>12.86</v>
      </c>
      <c r="O43" s="17" t="inlineStr">
        <is>
          <t>PASSED</t>
        </is>
      </c>
      <c r="P43" s="16" t="n">
        <v>0.8714</v>
      </c>
    </row>
    <row r="44">
      <c r="A44" s="12" t="n">
        <v>36</v>
      </c>
      <c r="B44" s="13" t="inlineStr">
        <is>
          <t>Evaluatif</t>
        </is>
      </c>
      <c r="C44" s="13" t="inlineStr">
        <is>
          <t>google/gemma-4-26b-a4b-it:free</t>
        </is>
      </c>
      <c r="D44" s="14" t="inlineStr">
        <is>
          <t>Mengapa keterlibatan kelompok rentan penting dalam desain layanan publik?</t>
        </is>
      </c>
      <c r="E44" s="14" t="inlineStr">
        <is>
          <t>Untuk memastikan inklusivitas dan aksesibilitas layanan bagi disabilitas, lansia, dan kelompok lain.</t>
        </is>
      </c>
      <c r="F44" s="14" t="inlineStr">
        <is>
          <t>Keterlibatan kelompok rentan dalam desain layanan publik penting karena:
1.  **Prinsip Inklusivitas:** Memastikan layanan pemerintah dapat diakses oleh semua lapisan masyarakat tanpa diskriminasi (sesuai prinsip *Leave No One Behind*).
2.s **Aksesibilitas Digital:** Menghindari terjadinya eksklusi digital dengan menyesuaikan antarmuka (*interface*) dan alur layanan sesuai kebutuhan khusus (disabilitas, lansia, atau masyarakat di daerah 3T).
3.  **Akurasi Kebutuhan:** Menjamin fitur layanan tepat guna dan menjawab hambatan nyata yang dihadapi kelompok rentan dalam mengakses layanan pemerintah.
4.  **Kepatuhan Regulasi:** Memenuhi amanat UU No. 25 Tahun 2009 tentang Pelayanan Publik dan Perpres No. 95 Tahun 2018 tentang SPBE terkait layanan yang inklusif dan tidak diskriminatif.</t>
        </is>
      </c>
      <c r="G44" s="15" t="n">
        <v>100</v>
      </c>
      <c r="H44" s="15" t="n">
        <v>154.26</v>
      </c>
      <c r="I44" s="15" t="n">
        <v>4.34</v>
      </c>
      <c r="J44" s="15" t="n">
        <v>86.87</v>
      </c>
      <c r="K44" s="15" t="n">
        <v>86.87</v>
      </c>
      <c r="L44" s="16" t="n">
        <v>0.1313</v>
      </c>
      <c r="M44" s="16" t="n">
        <v>0.1313</v>
      </c>
      <c r="N44" s="15" t="n">
        <v>13.13</v>
      </c>
      <c r="O44" s="17" t="inlineStr">
        <is>
          <t>PASSED</t>
        </is>
      </c>
      <c r="P44" s="16" t="n">
        <v>0.8687</v>
      </c>
    </row>
    <row r="45">
      <c r="A45" s="12" t="n">
        <v>37</v>
      </c>
      <c r="B45" s="13" t="inlineStr">
        <is>
          <t>Faktual</t>
        </is>
      </c>
      <c r="C45" s="13" t="inlineStr">
        <is>
          <t>google/gemma-4-26b-a4b-it:free</t>
        </is>
      </c>
      <c r="D45" s="14" t="inlineStr">
        <is>
          <t>Apa peran chatbot atau widget umpan balik dalam layanan digital?</t>
        </is>
      </c>
      <c r="E45" s="14" t="inlineStr">
        <is>
          <t>Menyediakan kanal interaksi dan masukan pengguna secara langsung untuk perbaikan layanan.</t>
        </is>
      </c>
      <c r="F45" s="14" t="inlineStr">
        <is>
          <t>Peran chatbot atau widget umpan balik dalam layanan digital (berdasarkan kerangka tata kelola SPBE) adalah:
1.  **Meningkatkan Interaktivitas:** Menyediakan kanal komunikasi real-time antara penyelenggara layanan dan pengguna.
2._ **Efisiensi Dukungan Teknis:** Mengurangi beban kerja administrator melalui otomatisasi jawaban atas pertanyaan umum (*Frequently Asked Questions*).
3.  **Pengumpulan Data Pengguna:** Menjadi instrumen pengambilan data umpan balik secara cepat untuk evaluasi layanan.
4.  **Peningkatan Pengalaman Pengguna (*User Experience*):** Mempercepat waktu respon (*response time*) dalam proses pelayanan publik digital.
5.  **Mekanisme Pengaduan:** Menjadi sarana awal penampungan keluhan masyarakat guna mendukung prinsip transparansi dan akuntabilitas layanan publik.</t>
        </is>
      </c>
      <c r="G45" s="15" t="n">
        <v>100</v>
      </c>
      <c r="H45" s="15" t="n">
        <v>29.2</v>
      </c>
      <c r="I45" s="15" t="n">
        <v>4.33</v>
      </c>
      <c r="J45" s="15" t="n">
        <v>86.69</v>
      </c>
      <c r="K45" s="15" t="n">
        <v>86.69</v>
      </c>
      <c r="L45" s="16" t="n">
        <v>0.1331</v>
      </c>
      <c r="M45" s="16" t="n">
        <v>0.1331</v>
      </c>
      <c r="N45" s="15" t="n">
        <v>13.31</v>
      </c>
      <c r="O45" s="17" t="inlineStr">
        <is>
          <t>PASSED</t>
        </is>
      </c>
      <c r="P45" s="16" t="n">
        <v>0.8669</v>
      </c>
    </row>
    <row r="46">
      <c r="A46" s="12" t="n">
        <v>38</v>
      </c>
      <c r="B46" s="13" t="inlineStr">
        <is>
          <t>Faktual</t>
        </is>
      </c>
      <c r="C46" s="13" t="inlineStr">
        <is>
          <t>google/gemma-4-26b-a4b-it:free</t>
        </is>
      </c>
      <c r="D46" s="14" t="inlineStr">
        <is>
          <t>Jelaskan secara umum apa itu analisis sentimen pengguna.</t>
        </is>
      </c>
      <c r="E46" s="14" t="inlineStr">
        <is>
          <t>Teknik menilai opini/emosi pengguna dari teks untuk mengukur kepuasan terhadap layanan.</t>
        </is>
      </c>
      <c r="F46" s="14" t="inlineStr">
        <is>
          <t>**Analisis sentimen** adalah teknik pengolahan data teks menggunakan *Natural Language Processing* (NLP) untuk mengidentifikasi serta mengklasifikasikan opini, emosi, atau sikap pengguna dalam sebuah teks.
Dalam konteks layanan publik digital, tujuannya adalah untuk mengategorikan umpan balik masyarakat ke dalam tiga kategori utama: **Positif, Negatif, atau Netral**.
**Manfaat dalam tata kelola digital:**
1. **Evaluasi Layanan:** Mengukur tingkat kepuasan masyarakat terhadap aplikasi/layanan pemerintah.
2. **Deteksi Dini:** Mengidentifikasi keluhan atau isu krusial secara cepat.
3. **Pengambilan Keputusan:** Memberikan basis data berbasis opini publik untuk perbaikan sistem atau kebijakan.</t>
        </is>
      </c>
      <c r="G46" s="15" t="n">
        <v>100</v>
      </c>
      <c r="H46" s="15" t="n">
        <v>278.38</v>
      </c>
      <c r="I46" s="15" t="n">
        <v>4.4</v>
      </c>
      <c r="J46" s="15" t="n">
        <v>88.04000000000001</v>
      </c>
      <c r="K46" s="15" t="n">
        <v>88.04000000000001</v>
      </c>
      <c r="L46" s="16" t="n">
        <v>0.1196</v>
      </c>
      <c r="M46" s="16" t="n">
        <v>0.1196</v>
      </c>
      <c r="N46" s="15" t="n">
        <v>11.96</v>
      </c>
      <c r="O46" s="17" t="inlineStr">
        <is>
          <t>PASSED</t>
        </is>
      </c>
      <c r="P46" s="16" t="n">
        <v>0.8804</v>
      </c>
    </row>
    <row r="47">
      <c r="A47" s="12" t="n">
        <v>39</v>
      </c>
      <c r="B47" s="13" t="inlineStr">
        <is>
          <t>Faktual</t>
        </is>
      </c>
      <c r="C47" s="13" t="inlineStr">
        <is>
          <t>google/gemma-4-26b-a4b-it:free</t>
        </is>
      </c>
      <c r="D47" s="14" t="inlineStr">
        <is>
          <t>Apa yang dimaksud dengan Infrastruktur Informasi Vital?</t>
        </is>
      </c>
      <c r="E47" s="14" t="inlineStr">
        <is>
          <t>Sistem/aset informasi yang sangat penting sehingga gangguannya berdampak luas dan perlu pelindungan khusus.</t>
        </is>
      </c>
      <c r="F47" s="14" t="inlineStr">
        <is>
          <t>**Infrastruktur Informasi Vital (IIV)** adalah aset informasi, perangkat keras, perangkat lunak, jaringan, serta sistem informasi yang sangat penting bagi keberlangsungan fungsi pemerintahan dan pelayanan publik.
Jika IIV mengalami gangguan atau kerusakan, hal tersebut dapat berdampak langsung pada:
1. **Stabilitas Nasional:** Keamanan negara dan kedaulatan.
2. **Pelayanan Publik:** Kelancaran fungsi layanan pemerintah kepada masyarakat.
3. **Ekonomi:** Stabilitas ekonomi dan kegiatan ekonomi nasional.
4. **Ketertiban Umum:** Keamanan dan ketertiban masyarakat.
Dalam konteks SPBE, pengelolaan IIV bertujuan untuk menjamin **ketersediaan (availability)**, **keutuhan (integrity)**, dan **kerahasiaan (confidentiality)** data serta layanan kritikal negara.</t>
        </is>
      </c>
      <c r="G47" s="15" t="n">
        <v>100</v>
      </c>
      <c r="H47" s="15" t="n">
        <v>46.79</v>
      </c>
      <c r="I47" s="15" t="n">
        <v>4.28</v>
      </c>
      <c r="J47" s="15" t="n">
        <v>85.65000000000001</v>
      </c>
      <c r="K47" s="15" t="n">
        <v>85.65000000000001</v>
      </c>
      <c r="L47" s="16" t="n">
        <v>0.1435</v>
      </c>
      <c r="M47" s="16" t="n">
        <v>0.1435</v>
      </c>
      <c r="N47" s="15" t="n">
        <v>14.35</v>
      </c>
      <c r="O47" s="17" t="inlineStr">
        <is>
          <t>PASSED</t>
        </is>
      </c>
      <c r="P47" s="16" t="n">
        <v>0.8565</v>
      </c>
    </row>
    <row r="48">
      <c r="A48" s="12" t="n">
        <v>40</v>
      </c>
      <c r="B48" s="13" t="inlineStr">
        <is>
          <t>Evaluatif</t>
        </is>
      </c>
      <c r="C48" s="13" t="inlineStr">
        <is>
          <t>google/gemma-4-26b-a4b-it:free</t>
        </is>
      </c>
      <c r="D48" s="14" t="inlineStr">
        <is>
          <t>Apa manfaat dashboard publik untuk transparansi kinerja layanan?</t>
        </is>
      </c>
      <c r="E48" s="14" t="inlineStr">
        <is>
          <t>Memberi akuntabilitas, memudahkan pemantauan publik, dan mendorong perbaikan berbasis data.</t>
        </is>
      </c>
      <c r="F48" s="14" t="inlineStr">
        <is>
          <t>1. **Akuntabilitas Publik:** Memudahkan masyarakat memantau capaian kinerja instansi secara *real-time*.
2. **Transparansi Data:** Menyediakan akses data yang terbuka, akurat, dan mudah dipahami masyarakat.
3. **Pengambilan Keputusan Berbasis Data:** Memberikan rujukan data bagi pemerintah untuk perbaikan layanan secara berkelanjutan.
4. **Peningkatan Kepercayaan Publik:** Meningkatkan citra positif pemerintah melalui keterbukaan informasi kinerja.
5. **Monitoring dan Evaluasi:** Mempermudah pengawasan kinerja organisasi oleh pemangku kepentingan.</t>
        </is>
      </c>
      <c r="G48" s="15" t="n">
        <v>100</v>
      </c>
      <c r="H48" s="15" t="n">
        <v>189.7</v>
      </c>
      <c r="I48" s="15" t="n">
        <v>4.44</v>
      </c>
      <c r="J48" s="15" t="n">
        <v>88.90000000000001</v>
      </c>
      <c r="K48" s="15" t="n">
        <v>88.90000000000001</v>
      </c>
      <c r="L48" s="16" t="n">
        <v>0.111</v>
      </c>
      <c r="M48" s="16" t="n">
        <v>0.111</v>
      </c>
      <c r="N48" s="15" t="n">
        <v>11.1</v>
      </c>
      <c r="O48" s="17" t="inlineStr">
        <is>
          <t>PASSED</t>
        </is>
      </c>
      <c r="P48" s="16" t="n">
        <v>0.889</v>
      </c>
    </row>
    <row r="49">
      <c r="A49" s="12" t="n">
        <v>41</v>
      </c>
      <c r="B49" s="13" t="inlineStr">
        <is>
          <t>Faktual</t>
        </is>
      </c>
      <c r="C49" s="13" t="inlineStr">
        <is>
          <t>google/gemma-4-26b-a4b-it:free</t>
        </is>
      </c>
      <c r="D49" s="14" t="inlineStr">
        <is>
          <t>Apa yang dimaksud dengan Penanganan Insiden Siber dalam Pemerintah Digital?</t>
        </is>
      </c>
      <c r="E49" s="14" t="inlineStr">
        <is>
          <t>Penanganan Insiden Siber adalah kemampuan dalam mendeteksi, merespons, dan menangani insiden keamanan siber secara terstruktur untuk menjaga keamanan dan keberlangsungan layanan Pemerintah Digital.</t>
        </is>
      </c>
      <c r="F49" s="14" t="inlineStr">
        <is>
          <t>**Penanganan Insiden Siber** dalam Pemerintah Digital adalah serangka-serangkaian tindakan sistematis untuk mendeteksi, merespons, memulihkan, dan memitigasi dampak dari serangan atau pelanggaran keamanan informasi yang menargetkan infrastruktur informasi pemerintah.
**Poin Utama:**
1.  **Tujuan:** Menjaga ketersediaan (*availability*), keutuhan (*integrity*), dan kerahasiaan (*confidentiality*) data serta layanan publik digital.
2.thought **Lingkup Kerja:** Meliputi identifikasi serangan, isolasi sistem yang terinfeksi, pemulihan layanan (*recovery*), hingga analisis pasca-insiden.
3.thought **Dasar Regulasi:** Mengacu pada kerangka kerja keamanan siber yang dikelola oleh **BSSN** (Badan Siber dan Sandi Negara) dan tata kelola SPBE untuk memastikan ketahanan digital instansi pemerintah.</t>
        </is>
      </c>
      <c r="G49" s="15" t="n">
        <v>100</v>
      </c>
      <c r="H49" s="15" t="n">
        <v>77.56999999999999</v>
      </c>
      <c r="I49" s="15" t="n">
        <v>4.5</v>
      </c>
      <c r="J49" s="15" t="n">
        <v>90.04000000000001</v>
      </c>
      <c r="K49" s="15" t="n">
        <v>90.04000000000001</v>
      </c>
      <c r="L49" s="16" t="n">
        <v>0.09959999999999999</v>
      </c>
      <c r="M49" s="16" t="n">
        <v>0.09959999999999999</v>
      </c>
      <c r="N49" s="15" t="n">
        <v>9.960000000000001</v>
      </c>
      <c r="O49" s="17" t="inlineStr">
        <is>
          <t>PASSED</t>
        </is>
      </c>
      <c r="P49" s="16" t="n">
        <v>0.9004</v>
      </c>
    </row>
    <row r="50">
      <c r="A50" s="12" t="n">
        <v>42</v>
      </c>
      <c r="B50" s="13" t="inlineStr">
        <is>
          <t>Faktual</t>
        </is>
      </c>
      <c r="C50" s="13" t="inlineStr">
        <is>
          <t>google/gemma-4-26b-a4b-it:free</t>
        </is>
      </c>
      <c r="D50" s="14" t="inlineStr">
        <is>
          <t>Apa yang dimaksud dengan Informasi Geospasial dan perannya dalam layanan digital pemerintah?</t>
        </is>
      </c>
      <c r="E50" s="14" t="inlineStr">
        <is>
          <t>Informasi Geospasial adalah data yang memiliki informasi lokasi di permukaan bumi dan digunakan untuk mendukung perencanaan, pengambilan keputusan, dan layanan pemerintah berbasis lokasi.</t>
        </is>
      </c>
      <c r="F50" s="14" t="inlineStr">
        <is>
          <t>Berikut adalah jawaban ringkas mengenai Informasi Geospasial dalam konteks SPBE:
**Definisi:**
Informasi Geospasial adalah data yang memiliki referensi posisi (koordinat) di permukaan bumi, yang mencakup data atribut (informasi mengenai objek) dan data spasial (posisi objek).
**Peran dalam Layanan Digital Pemerintah:**
1.  **Visualisasi Data:** Menyajikan data pemerintah dalam bentuk peta digital untuk memudahkan pemahaman spasial.
2.thought
    *   **Analisis Kebijakan:** Dasar pengambilan keputusan berbasis lokasi (misalnya: penentuan lokasi pembangunan infrastruktur atau mitigasi bencana).
sistem: memberikan konteks keruangan terhadap data statistik/administratif.
3.  **Integrasi Data (Interoperabilitas):** Menjadi "jangkar" untuk menyatukan berbagai data sektoral (seperti data lahan, batas wilayah, dan kependudukan) agar selaras secara keruangan.
4.  **Efisiensi Layanan:** Memungkinkan layanan publik berbasis lokasi (location-based services), seperti pelaporan masalah fasilitas umum berdasarkan titik koordinat.</t>
        </is>
      </c>
      <c r="G50" s="15" t="n">
        <v>100</v>
      </c>
      <c r="H50" s="15" t="n">
        <v>80.8</v>
      </c>
      <c r="I50" s="15" t="n">
        <v>4.38</v>
      </c>
      <c r="J50" s="15" t="n">
        <v>87.56</v>
      </c>
      <c r="K50" s="15" t="n">
        <v>87.56</v>
      </c>
      <c r="L50" s="16" t="n">
        <v>0.1244</v>
      </c>
      <c r="M50" s="16" t="n">
        <v>0.1244</v>
      </c>
      <c r="N50" s="15" t="n">
        <v>12.44</v>
      </c>
      <c r="O50" s="17" t="inlineStr">
        <is>
          <t>PASSED</t>
        </is>
      </c>
      <c r="P50" s="16" t="n">
        <v>0.8756</v>
      </c>
    </row>
    <row r="51">
      <c r="A51" s="12" t="n">
        <v>43</v>
      </c>
      <c r="B51" s="13" t="inlineStr">
        <is>
          <t>Ekstraksi</t>
        </is>
      </c>
      <c r="C51" s="13" t="inlineStr">
        <is>
          <t>google/gemma-4-26b-a4b-it:free</t>
        </is>
      </c>
      <c r="D51" s="14" t="inlineStr">
        <is>
          <t>Sebutkan tiga aktivitas yang termasuk dalam tata kelola digital instansi pemerintah.</t>
        </is>
      </c>
      <c r="E51" s="14" t="inlineStr">
        <is>
          <t>Perencanaan, pelaksanaan, dan pengendalian transformasi digital.</t>
        </is>
      </c>
      <c r="F51" s="14" t="inlineStr">
        <is>
          <t>Berdasarkan kerangka kerja tata kelola digital dalam konteks SPBE, tiga aktivitas utamanya adalah:
1. **Perencanaan Strategis Digital**: Penyusunan peta rencana (roadmap) dan arsitektur SPBE.
2.. **Manajemen Layanan Digital**: Pengelolaan, operasional, dan pemeliharaan aplikasi serta infrastruktur informasi.
3. **Manajemen Keamanan Informasi**: Perlindungan aset digital, pengendalian akses, dan mitigasi risiko siber.</t>
        </is>
      </c>
      <c r="G51" s="15" t="n">
        <v>100</v>
      </c>
      <c r="H51" s="15" t="n">
        <v>155.6</v>
      </c>
      <c r="I51" s="15" t="n">
        <v>4.49</v>
      </c>
      <c r="J51" s="15" t="n">
        <v>89.88</v>
      </c>
      <c r="K51" s="15" t="n">
        <v>89.88</v>
      </c>
      <c r="L51" s="16" t="n">
        <v>0.1012</v>
      </c>
      <c r="M51" s="16" t="n">
        <v>0.1012</v>
      </c>
      <c r="N51" s="15" t="n">
        <v>10.12</v>
      </c>
      <c r="O51" s="17" t="inlineStr">
        <is>
          <t>PASSED</t>
        </is>
      </c>
      <c r="P51" s="16" t="n">
        <v>0.8988</v>
      </c>
    </row>
    <row r="52">
      <c r="A52" s="12" t="n">
        <v>44</v>
      </c>
      <c r="B52" s="13" t="inlineStr">
        <is>
          <t>Analisis</t>
        </is>
      </c>
      <c r="C52" s="13" t="inlineStr">
        <is>
          <t>google/gemma-4-26b-a4b-it:free</t>
        </is>
      </c>
      <c r="D52" s="14" t="inlineStr">
        <is>
          <t>Mengapa konsolidasi pusat data nasional dilakukan banyak negara?</t>
        </is>
      </c>
      <c r="E52" s="14" t="inlineStr">
        <is>
          <t>Untuk efisiensi biaya, standardisasi keamanan, dan integrasi layanan lintas instansi.</t>
        </is>
      </c>
      <c r="F52" s="14" t="inlineStr">
        <is>
          <t>Konsolidasi Pusat Data Nasional (PDN) dilakukan untuk mencapai tujuan berikut:
1.  **Efisiensi Anggaran:** Mengurangi belanja belanja pengadaan infrastruktur IT yang redundan di setiap instansi (menghemat belanja modal/CAPEX dan belanja operasional/OPEX).
2.  4. **Interoperabilitas Data:** Memudahkan pertukaran data antar instansi pemerintah guna mendukung integrasi kebijakan (Data-Driven Policy).
3.  **Keamanan Siber:** Mempermudah standarisasi protokol keamanan, pengawasan, dan proteksi data dalam satu infrastruktur yang terpusat dan tangguh.
4.  **Skala Ekonomi:** Mengoptimalkan sumber daya (kapasitas penyimpanan dan komputasi) sehingga pemanfaatan teknologi lebih efisien dan terukur.
5.  **Standardisasi Layanan:** Menjamin layanan publik berbasis digital memiliki standar kualitas, kecepatan, dan ketersediaan (*availability*) yang seragam di seluruh level pemerintahan.</t>
        </is>
      </c>
      <c r="G52" s="15" t="n">
        <v>100</v>
      </c>
      <c r="H52" s="15" t="n">
        <v>121.11</v>
      </c>
      <c r="I52" s="15" t="n">
        <v>4.26</v>
      </c>
      <c r="J52" s="15" t="n">
        <v>85.25</v>
      </c>
      <c r="K52" s="15" t="n">
        <v>85.25</v>
      </c>
      <c r="L52" s="16" t="n">
        <v>0.1475</v>
      </c>
      <c r="M52" s="16" t="n">
        <v>0.1475</v>
      </c>
      <c r="N52" s="15" t="n">
        <v>14.75</v>
      </c>
      <c r="O52" s="17" t="inlineStr">
        <is>
          <t>PASSED</t>
        </is>
      </c>
      <c r="P52" s="16" t="n">
        <v>0.8525</v>
      </c>
    </row>
    <row r="53">
      <c r="A53" s="12" t="n">
        <v>45</v>
      </c>
      <c r="B53" s="13" t="inlineStr">
        <is>
          <t>Faktual</t>
        </is>
      </c>
      <c r="C53" s="13" t="inlineStr">
        <is>
          <t>google/gemma-4-26b-a4b-it:free</t>
        </is>
      </c>
      <c r="D53" s="14" t="inlineStr">
        <is>
          <t>Apa yang dimaksud dengan co-creation dalam pengembangan kebijakan digital?</t>
        </is>
      </c>
      <c r="E53" s="14" t="inlineStr">
        <is>
          <t>Pelibatan aktif berbagai pemangku kepentingan dalam merancang solusi/layanan bersama.</t>
        </is>
      </c>
      <c r="F53" s="14" t="inlineStr">
        <is>
          <t>**Co-creation** dalam pengembangan kebijakan digital adalah proses **kolaborasi partisipatif** antara pemerintah dengan pemangku kepentingan (*stakeholders*)—seperti masyarakat, akademisi, sektor swasta, dan komunitas—untuk merancang, menyusun, dan menguji kebijakan secara bersama-sama.
**Inti konsep:**
1. **Melampaui Konsultasi:** Tidak hanya meminta masukan (bottom-up), tetapi melibatkan pihak luar sejak tahap desain awal.
2. **Berbagi Nilai:** Menggabungkan keahlian teknis pemerintah dengan pengalaman pengguna (*user experience*) dari masyarakat.
3. **Tujuan:** Menghasilkan kebijakan yang lebih inklusif, relevan dengan kebutuhan riil, dan meningkatkan tingkat adopsi/kepatuhan digital di masyarakat.</t>
        </is>
      </c>
      <c r="G53" s="15" t="n">
        <v>100</v>
      </c>
      <c r="H53" s="15" t="n">
        <v>5.6</v>
      </c>
      <c r="I53" s="15" t="n">
        <v>4.26</v>
      </c>
      <c r="J53" s="15" t="n">
        <v>85.18000000000001</v>
      </c>
      <c r="K53" s="15" t="n">
        <v>85.18000000000001</v>
      </c>
      <c r="L53" s="16" t="n">
        <v>0.1482</v>
      </c>
      <c r="M53" s="16" t="n">
        <v>0.1482</v>
      </c>
      <c r="N53" s="15" t="n">
        <v>14.82</v>
      </c>
      <c r="O53" s="17" t="inlineStr">
        <is>
          <t>PASSED</t>
        </is>
      </c>
      <c r="P53" s="16" t="n">
        <v>0.8518</v>
      </c>
    </row>
    <row r="54">
      <c r="A54" s="12" t="n">
        <v>46</v>
      </c>
      <c r="B54" s="13" t="inlineStr">
        <is>
          <t>Faktual</t>
        </is>
      </c>
      <c r="C54" s="13" t="inlineStr">
        <is>
          <t>google/gemma-4-26b-a4b-it:free</t>
        </is>
      </c>
      <c r="D54" s="14" t="inlineStr">
        <is>
          <t>Jelaskan konsep 'single sign-on' pada portal layanan pemerintah.</t>
        </is>
      </c>
      <c r="E54" s="14" t="inlineStr">
        <is>
          <t>Mekanisme satu kali autentikasi untuk mengakses banyak layanan terhubung.</t>
        </is>
      </c>
      <c r="F54" s="14" t="inlineStr">
        <is>
          <t>Konsep **Single Sign-On (SSO)** pada portal layanan pemerintah adalah mekanisme autentikasi terpusat yang memungkinkan pengguna (masyarakat atau ASN) untuk mengakses berbagai aplikasi layanan pemerintah yang berbeda hanya dengan menggunakan **satu set kredensial** (satu *username* dan satu *password*).
**Poin Utama:**
1.  **Efisiensi Identitas:** Pengguna tidak perlu menghafal banyak akun untuk berbagai aplikasi berbeda (misalnya: satu akun untuk layanan pajak, perizinan, dan kependudukan).
2.t **Interoperabilitas:** Menghubungkan berbagai sistem aplikasi yang berbeda (silogisme data) melalui protokol standar (seperti OAuth2 atau SAML).
3.t **User Experience (UX):** Mempermudah akses layanan digital pemerintah secara terintegrasi.
4.t **Keamanan:** Memudahkan kontrol akses dan audit keamanan karena titik masuk autentikasi terpusat pada satu gerbang identitas digital yang terstandar.
Dalam konteks SPBE, SSO adalah kunci utama dalam mewujudkan **Satu Data Indonesia** dan integrasi layanan melalui **Portal Layanan Publik Terpadu**.</t>
        </is>
      </c>
      <c r="G54" s="15" t="n">
        <v>100</v>
      </c>
      <c r="H54" s="15" t="n">
        <v>110.39</v>
      </c>
      <c r="I54" s="15" t="n">
        <v>4.36</v>
      </c>
      <c r="J54" s="15" t="n">
        <v>87.17</v>
      </c>
      <c r="K54" s="15" t="n">
        <v>87.17</v>
      </c>
      <c r="L54" s="16" t="n">
        <v>0.1283</v>
      </c>
      <c r="M54" s="16" t="n">
        <v>0.1283</v>
      </c>
      <c r="N54" s="15" t="n">
        <v>12.83</v>
      </c>
      <c r="O54" s="17" t="inlineStr">
        <is>
          <t>PASSED</t>
        </is>
      </c>
      <c r="P54" s="16" t="n">
        <v>0.8717</v>
      </c>
    </row>
    <row r="55">
      <c r="A55" s="12" t="n">
        <v>47</v>
      </c>
      <c r="B55" s="13" t="inlineStr">
        <is>
          <t>Analisis</t>
        </is>
      </c>
      <c r="C55" s="13" t="inlineStr">
        <is>
          <t>google/gemma-4-26b-a4b-it:free</t>
        </is>
      </c>
      <c r="D55" s="14" t="inlineStr">
        <is>
          <t>Mengapa penerapan standar data menjadi kunci keberhasilan Satu Data Indonesia?</t>
        </is>
      </c>
      <c r="E55" s="14" t="inlineStr">
        <is>
          <t>Karena tanpa standar yang seragam, data antar instansi menjadi inkonsisten dan sulit diintegrasikan secara nasional.</t>
        </is>
      </c>
      <c r="F55" s="14" t="inlineStr">
        <is>
          <t>Penerapan standar data menjadi kunci keberhasilan Satu Data Indonesia (SDI) karena alasan berikut:
1.  **Interoperabilitas Data:** Menjamin data dari berbagai instansi dapat dibaca, dipertukarkan, dan diintegrasikan secara teknis tanpa hambatan format.
2.  ing **Akurasi dan Konsistensi:** Menghindari duplikasi dan perbedaan interpretasi data antar instansi melalui penggunaan kode referensi dan metadata yang seragam.
3.thought
&lt;channel|&gt;Penerapan standar data menjadi kunci keberhasilan Satu Data Indonesia (SDI) karena:
1.  **Interoperabilitas:** Memungkinkan pertukaran dan integrasi data antar instansi pemerintah yang menggunakan sistem berbeda.
2.  **Akurasi &amp; Konsistensi:** Menghindari duplikasi dan perbedaan interpretasi data melalui penggunaan kode referensi dan metadata yang seragam.
3.  **Efisiensi Kebijakan:** Memudahkan pengambilan keputusan berbasis data (*data-driven policy*) karena data yang tersedia valid, akurat, dan dapat diandalkan.
**Dasar Regulasi:** Peraturan Presiden No. 39 Tahun 2019 tentang Satu Data Indonesia.</t>
        </is>
      </c>
      <c r="G55" s="15" t="n">
        <v>84.15000000000001</v>
      </c>
      <c r="H55" s="15" t="n">
        <v>196.8</v>
      </c>
      <c r="I55" s="15" t="n">
        <v>4.21</v>
      </c>
      <c r="J55" s="15" t="n">
        <v>84.15000000000001</v>
      </c>
      <c r="K55" s="15" t="n">
        <v>84.15000000000001</v>
      </c>
      <c r="L55" s="16" t="n">
        <v>0.1585</v>
      </c>
      <c r="M55" s="16" t="n">
        <v>0.1585</v>
      </c>
      <c r="N55" s="15" t="n">
        <v>15.85</v>
      </c>
      <c r="O55" s="18" t="inlineStr">
        <is>
          <t>FAILED</t>
        </is>
      </c>
      <c r="P55" s="16" t="n">
        <v>0.8415</v>
      </c>
    </row>
    <row r="56">
      <c r="A56" s="12" t="n">
        <v>48</v>
      </c>
      <c r="B56" s="13" t="inlineStr">
        <is>
          <t>Evaluatif</t>
        </is>
      </c>
      <c r="C56" s="13" t="inlineStr">
        <is>
          <t>google/gemma-4-26b-a4b-it:free</t>
        </is>
      </c>
      <c r="D56" s="14" t="inlineStr">
        <is>
          <t>Mengapa pendekatan berbasis bukti (evidence-based) penting dalam evaluasi kinerja?</t>
        </is>
      </c>
      <c r="E56" s="14" t="inlineStr">
        <is>
          <t>Agar penilaian objektif, dapat diverifikasi, dan rekomendasi perbaikannya tepat sasaran.</t>
        </is>
      </c>
      <c r="F56" s="14" t="inlineStr">
        <is>
          <t>Pendekatan berbasis bukti (*evidence-based*) penting dalam evaluasi kinerja SPBE karena:
1.  **Objektivitas:** Menghindari penilaian subjektif atau asumsi, sehingga hasil evaluasi mencerminkan kondisi riil di lapangan.
2.  **Akurasi Pengambilan Keputusan:** Menyediakan data valid (seperti skor indeks, log sistem, atau hasil audit) sebagai dasar kebijakan perbaikan tata kelola.
3.  **Akuntabilitas:** Memberikan bukti konkret atas capaian kinerja yang dapat dipertanggungjawabkan kepada stakeholder/pemerintah pusat.
4.  **Efisiensi Sumber Daya:** Memastikan alokasi anggaran dan intervensi teknis tepat sasaran pada area yang memang memiliki celah kinerja berdasarkan data.
5.  **Dasar Perbaikan Berkelanjutan:** Mengidentifikasi akar masalah secara presisi untuk penyusunan rencana aksi perbaikan (*remediation plan*) yang efektif.</t>
        </is>
      </c>
      <c r="G56" s="15" t="n">
        <v>100</v>
      </c>
      <c r="H56" s="15" t="n">
        <v>7.87</v>
      </c>
      <c r="I56" s="15" t="n">
        <v>4.25</v>
      </c>
      <c r="J56" s="15" t="n">
        <v>85.06999999999999</v>
      </c>
      <c r="K56" s="15" t="n">
        <v>85.06999999999999</v>
      </c>
      <c r="L56" s="16" t="n">
        <v>0.1493</v>
      </c>
      <c r="M56" s="16" t="n">
        <v>0.1493</v>
      </c>
      <c r="N56" s="15" t="n">
        <v>14.93</v>
      </c>
      <c r="O56" s="17" t="inlineStr">
        <is>
          <t>PASSED</t>
        </is>
      </c>
      <c r="P56" s="16" t="n">
        <v>0.8507</v>
      </c>
    </row>
    <row r="57">
      <c r="A57" s="12" t="n">
        <v>49</v>
      </c>
      <c r="B57" s="13" t="inlineStr">
        <is>
          <t>Faktual</t>
        </is>
      </c>
      <c r="C57" s="13" t="inlineStr">
        <is>
          <t>google/gemma-4-26b-a4b-it:free</t>
        </is>
      </c>
      <c r="D57" s="14" t="inlineStr">
        <is>
          <t>Apa yang dimaksud dengan budaya tertib arsip digital?</t>
        </is>
      </c>
      <c r="E57" s="14" t="inlineStr">
        <is>
          <t>Kebiasaan mengelola arsip secara digital dan terstruktur sebagai basis pemanfaatan data.</t>
        </is>
      </c>
      <c r="F57" s="14" t="inlineStr">
        <is>
          <t>Budaya tertib arsip digital adalah **kesadaran dan kebiasaan seluruh elemen organisasi untuk mengelola, menyimpan, dan menggunakan informasi/dokumen dalam bentuk digital secara teratur, autentik, dan akuntabel** sesuai dengan regulasi yang berlaku (seperti prinsip tata kelola SPBE dan kearsipan digital).
**Inti utamanya meliputi:**
1. **Kepatuhan:** Mengikuti standar klasifikasi dan retensi arsip.
2.thought
&lt;channel|&gt;Budaya tertib arsip digital adalah **kesadaran dan kebiasaan seluruh elemen organisasi untuk mengelola, menyimpan, dan menggunakan dokumen elektronik secara teratur, autentik, dan akuntabel** sesuai dengan regulasi kearsipan dan standar keamanan informasi.
**Aspek utama:**
1. **Kepatuhan:** Sesuai dengan kaidah kearsipan nasional.
2. **Integritas:** Menjamin keaslian dan keutuhan data digital.
3. **Aksesibilitas:** Memastikan dokumen mudah ditemukan kembali saat dibutuhkan melalui sistem yang terintegrasi.
4. **Keamanan:** Melindungi data dari kerusakan, manipulasi, atau akses ilegal.</t>
        </is>
      </c>
      <c r="G57" s="15" t="n">
        <v>100</v>
      </c>
      <c r="H57" s="15" t="n">
        <v>92.81999999999999</v>
      </c>
      <c r="I57" s="15" t="n">
        <v>4.4</v>
      </c>
      <c r="J57" s="15" t="n">
        <v>88</v>
      </c>
      <c r="K57" s="15" t="n">
        <v>88</v>
      </c>
      <c r="L57" s="16" t="n">
        <v>0.12</v>
      </c>
      <c r="M57" s="16" t="n">
        <v>0.12</v>
      </c>
      <c r="N57" s="15" t="n">
        <v>12</v>
      </c>
      <c r="O57" s="17" t="inlineStr">
        <is>
          <t>PASSED</t>
        </is>
      </c>
      <c r="P57" s="16" t="n">
        <v>0.88</v>
      </c>
    </row>
    <row r="58">
      <c r="A58" s="12" t="n">
        <v>50</v>
      </c>
      <c r="B58" s="13" t="inlineStr">
        <is>
          <t>Ekstraksi</t>
        </is>
      </c>
      <c r="C58" s="13" t="inlineStr">
        <is>
          <t>google/gemma-4-26b-a4b-it:free</t>
        </is>
      </c>
      <c r="D58" s="14" t="inlineStr">
        <is>
          <t>Sebutkan tiga unsur yang perlu diselaraskan dalam tata kelola digital pemerintah.</t>
        </is>
      </c>
      <c r="E58" s="14" t="inlineStr">
        <is>
          <t>Kebijakan, proses bisnis, dan teknologi informasi.</t>
        </is>
      </c>
      <c r="F58" s="14" t="inlineStr">
        <is>
          <t>Tiga unsur yang perlu diselaraskan dalam tata kelola digital pemerintah adalah:
1.  **Proses Bisnis** (Alur kerja dan prosedur operasional).
2.thought
&lt;channel|&gt;**Data** (Informasi dan integrasi data).
3.  **Teknologi Informasi** (Infrastruktur, aplikasi, dan keamanan siber).</t>
        </is>
      </c>
      <c r="G58" s="15" t="n">
        <v>100</v>
      </c>
      <c r="H58" s="15" t="n">
        <v>29.12</v>
      </c>
      <c r="I58" s="15" t="n">
        <v>4.55</v>
      </c>
      <c r="J58" s="15" t="n">
        <v>90.98999999999999</v>
      </c>
      <c r="K58" s="15" t="n">
        <v>90.98999999999999</v>
      </c>
      <c r="L58" s="16" t="n">
        <v>0.0901</v>
      </c>
      <c r="M58" s="16" t="n">
        <v>0.0901</v>
      </c>
      <c r="N58" s="15" t="n">
        <v>9.01</v>
      </c>
      <c r="O58" s="17" t="inlineStr">
        <is>
          <t>PASSED</t>
        </is>
      </c>
      <c r="P58" s="16" t="n">
        <v>0.9099</v>
      </c>
    </row>
    <row r="59">
      <c r="A59" s="12" t="n">
        <v>51</v>
      </c>
      <c r="B59" s="13" t="inlineStr">
        <is>
          <t>Jebakan (out-of-scope/halusinasi)</t>
        </is>
      </c>
      <c r="C59" s="13" t="inlineStr">
        <is>
          <t>google/gemma-4-26b-a4b-it:free</t>
        </is>
      </c>
      <c r="D59" s="14" t="inlineStr">
        <is>
          <t>Berapa tepatnya nilai Indeks Pemdi nasional resmi tahun 2027?</t>
        </is>
      </c>
      <c r="E59" s="14" t="inlineStr">
        <is>
          <t>Model seharusnya menyatakan data belum tersedia/di luar jangkauan dan tidak mengarang angka.</t>
        </is>
      </c>
      <c r="F59" s="14" t="inlineStr">
        <is>
          <t>Nilai Indeks SPBE nasional untuk tahun **2027 belum tersedia**, karena saat ini kita masih berada di tahun 2024. Nilai tersebut baru akan diketahui setelah dilakukan evaluasi oleh Kementerian PANRB pada tahun 2027.</t>
        </is>
      </c>
      <c r="G59" s="15" t="n">
        <v>100</v>
      </c>
      <c r="H59" s="15" t="n">
        <v>32.49</v>
      </c>
      <c r="I59" s="15" t="n">
        <v>4.48</v>
      </c>
      <c r="J59" s="15" t="n">
        <v>89.67</v>
      </c>
      <c r="K59" s="15" t="n">
        <v>89.67</v>
      </c>
      <c r="L59" s="16" t="n">
        <v>0.1033</v>
      </c>
      <c r="M59" s="16" t="n">
        <v>0.1033</v>
      </c>
      <c r="N59" s="15" t="n">
        <v>10.33</v>
      </c>
      <c r="O59" s="17" t="inlineStr">
        <is>
          <t>PASSED</t>
        </is>
      </c>
      <c r="P59" s="16" t="n">
        <v>0.8967000000000001</v>
      </c>
    </row>
    <row r="60">
      <c r="A60" s="12" t="n">
        <v>52</v>
      </c>
      <c r="B60" s="13" t="inlineStr">
        <is>
          <t>Jebakan (faithfulness/halusinasi)</t>
        </is>
      </c>
      <c r="C60" s="13" t="inlineStr">
        <is>
          <t>google/gemma-4-26b-a4b-it:free</t>
        </is>
      </c>
      <c r="D60" s="14" t="inlineStr">
        <is>
          <t>Sebutkan bobot persis ke-20 indikator Indeks Pemdi tanpa melihat dokumen apa pun.</t>
        </is>
      </c>
      <c r="E60" s="14" t="inlineStr">
        <is>
          <t>Tanpa dokumen, model seharusnya menyatakan tidak dapat memastikan bobot resmi dan menyarankan merujuk dokumen.</t>
        </is>
      </c>
      <c r="F60" s="14" t="inlineStr">
        <is>
          <t>Mohon maaf, terdapat kekeliruan dalam terminologi pertanyaan Anda. Dalam kerangka regulasi SPBE (Perpres 95/2018 dan evaluasi oleh KemenPANRB), tidak ada istilah **"Indeks Pemdi"**.
Yang ada adalah **Indeks SPBE**.
Jika yang Anda maksud adalah **Indikator SPBE**, jumlah indikator yang dievaluasi bukan 20, melainkan terdiri dari 4 domain utama dengan total puluhan indikator yang mencakup:
1. **Kebijakan Internal**
2. **Tata Kelola**
3. **Manajemen SPBE**
4. **Layanan SPBE**
Jika Anda merujuk pada instrumen evaluasi spesifik milik lembaga lain (bukan SPBE KemenPANRB), mohon koreksi terminologinya agar saya dapat memberikan jawaban yang akurat.</t>
        </is>
      </c>
      <c r="G60" s="15" t="n">
        <v>82.86</v>
      </c>
      <c r="H60" s="15" t="n">
        <v>135</v>
      </c>
      <c r="I60" s="15" t="n">
        <v>4.14</v>
      </c>
      <c r="J60" s="15" t="n">
        <v>82.86</v>
      </c>
      <c r="K60" s="15" t="n">
        <v>82.86</v>
      </c>
      <c r="L60" s="16" t="n">
        <v>0.1714</v>
      </c>
      <c r="M60" s="16" t="n">
        <v>0.1714</v>
      </c>
      <c r="N60" s="15" t="n">
        <v>17.14</v>
      </c>
      <c r="O60" s="18" t="inlineStr">
        <is>
          <t>FAILED</t>
        </is>
      </c>
      <c r="P60" s="16" t="n">
        <v>0.8286</v>
      </c>
    </row>
    <row r="61">
      <c r="A61" s="12" t="n">
        <v>53</v>
      </c>
      <c r="B61" s="13" t="inlineStr">
        <is>
          <t>Jebakan (out-of-scope)</t>
        </is>
      </c>
      <c r="C61" s="13" t="inlineStr">
        <is>
          <t>google/gemma-4-26b-a4b-it:free</t>
        </is>
      </c>
      <c r="D61" s="14" t="inlineStr">
        <is>
          <t>Berapa skor Indeks Pemdi Provinsi Jawa Timur tahun 2026?</t>
        </is>
      </c>
      <c r="E61" s="14" t="inlineStr">
        <is>
          <t>Belum ada/di luar konteks; model seharusnya tidak mengarang dan menyatakan ketidaktersediaan data.</t>
        </is>
      </c>
      <c r="F61" s="14" t="inlineStr">
        <is>
          <t>Saya tidak dapat menjawab pertanyaan tersebut karena tahun 2026 merupakan waktu di masa depan. Data Indeks SPBE (Indeks Pemdigitalan) bersifat retrospektif berdasarkan hasil evaluasi yang dilakukan oleh Kementerian PANRB pada tahun berjalan atau tahun sebelumnya.</t>
        </is>
      </c>
      <c r="G61" s="15" t="n">
        <v>100</v>
      </c>
      <c r="H61" s="15" t="n">
        <v>4.51</v>
      </c>
      <c r="I61" s="15" t="n">
        <v>4.36</v>
      </c>
      <c r="J61" s="15" t="n">
        <v>87.28</v>
      </c>
      <c r="K61" s="15" t="n">
        <v>87.28</v>
      </c>
      <c r="L61" s="16" t="n">
        <v>0.1272</v>
      </c>
      <c r="M61" s="16" t="n">
        <v>0.1272</v>
      </c>
      <c r="N61" s="15" t="n">
        <v>12.72</v>
      </c>
      <c r="O61" s="17" t="inlineStr">
        <is>
          <t>PASSED</t>
        </is>
      </c>
      <c r="P61" s="16" t="n">
        <v>0.8728</v>
      </c>
    </row>
    <row r="62">
      <c r="A62" s="12" t="n">
        <v>54</v>
      </c>
      <c r="B62" s="13" t="inlineStr">
        <is>
          <t>Jebakan (out-of-scope)</t>
        </is>
      </c>
      <c r="C62" s="13" t="inlineStr">
        <is>
          <t>google/gemma-4-26b-a4b-it:free</t>
        </is>
      </c>
      <c r="D62" s="14" t="inlineStr">
        <is>
          <t>Tanggal berapa persisnya Perpres Pemerintah Digital akan diundangkan?</t>
        </is>
      </c>
      <c r="E62" s="14" t="inlineStr">
        <is>
          <t>Masih berupa draf; model seharusnya menyatakan tanggal pasti belum diketahui.</t>
        </is>
      </c>
      <c r="F62" s="14" t="inlineStr">
        <is>
          <t>Hingga saat ini, **belum ada tanggal pasti** mengenai kapan Perpres tentang Pemerintah Digital akan diundangkan. Peraturan tersebut masih dalam tahap penyusunan/proses regulasi oleh pemerintah.</t>
        </is>
      </c>
      <c r="G62" s="15" t="n">
        <v>100</v>
      </c>
      <c r="H62" s="15" t="n">
        <v>3.18</v>
      </c>
      <c r="I62" s="15" t="n">
        <v>4.29</v>
      </c>
      <c r="J62" s="15" t="n">
        <v>85.79000000000001</v>
      </c>
      <c r="K62" s="15" t="n">
        <v>85.79000000000001</v>
      </c>
      <c r="L62" s="16" t="n">
        <v>0.1421</v>
      </c>
      <c r="M62" s="16" t="n">
        <v>0.1421</v>
      </c>
      <c r="N62" s="15" t="n">
        <v>14.21</v>
      </c>
      <c r="O62" s="17" t="inlineStr">
        <is>
          <t>PASSED</t>
        </is>
      </c>
      <c r="P62" s="16" t="n">
        <v>0.8579</v>
      </c>
    </row>
    <row r="63">
      <c r="A63" s="12" t="n">
        <v>55</v>
      </c>
      <c r="B63" s="13" t="inlineStr">
        <is>
          <t>Jebakan (halusinasi)</t>
        </is>
      </c>
      <c r="C63" s="13" t="inlineStr">
        <is>
          <t>google/gemma-4-26b-a4b-it:free</t>
        </is>
      </c>
      <c r="D63" s="14" t="inlineStr">
        <is>
          <t>Siapa nama lengkap seluruh anggota Tim Asesor Eksternal Pemdi nasional?</t>
        </is>
      </c>
      <c r="E63" s="14" t="inlineStr">
        <is>
          <t>Tidak diketahui umum; model seharusnya menolak mengarang nama.</t>
        </is>
      </c>
      <c r="F63" s="14" t="inlineStr">
        <is>
          <t>Mohon maaf, informasi mengenai **nama lengkap seluruh anggota Tim Asesor Eksternal Pemda** (untuk evaluasi SPBE) bersifat **rahasia/internal** dan tidak dipublikasikan secara umum oleh Kementerian PANRB guna menjaga independensi dan integritas proses evaluasi.
Daftar nama tersebut hanya diakses oleh pihak terkait dalam lingkup kerja Kementerian PANRB selama proses evaluasi berlangsung.</t>
        </is>
      </c>
      <c r="G63" s="15" t="n">
        <v>84.7</v>
      </c>
      <c r="H63" s="15" t="n">
        <v>281.59</v>
      </c>
      <c r="I63" s="15" t="n">
        <v>4.23</v>
      </c>
      <c r="J63" s="15" t="n">
        <v>84.7</v>
      </c>
      <c r="K63" s="15" t="n">
        <v>84.7</v>
      </c>
      <c r="L63" s="16" t="n">
        <v>0.153</v>
      </c>
      <c r="M63" s="16" t="n">
        <v>0.153</v>
      </c>
      <c r="N63" s="15" t="n">
        <v>15.3</v>
      </c>
      <c r="O63" s="18" t="inlineStr">
        <is>
          <t>FAILED</t>
        </is>
      </c>
      <c r="P63" s="16" t="n">
        <v>0.847</v>
      </c>
    </row>
    <row r="64">
      <c r="A64" s="12" t="n">
        <v>56</v>
      </c>
      <c r="B64" s="13" t="inlineStr">
        <is>
          <t>Jebakan (out-of-scope)</t>
        </is>
      </c>
      <c r="C64" s="13" t="inlineStr">
        <is>
          <t>google/gemma-4-26b-a4b-it:free</t>
        </is>
      </c>
      <c r="D64" s="14" t="inlineStr">
        <is>
          <t>Berapa anggaran TIK pemerintah pusat tahun 2029 secara pasti?</t>
        </is>
      </c>
      <c r="E64" s="14" t="inlineStr">
        <is>
          <t>Belum tersedia; model seharusnya menyatakan ketidakpastian dan tidak mengarang.</t>
        </is>
      </c>
      <c r="F64" s="14" t="inlineStr">
        <is>
          <t>Sebagai ahli SPBE, saya harus menyatakan bahwa **tidak ada angka pasti** untuk anggaran TIK pemerintah pusat tahun 2029 saat ini.
**Alasannya:**
1. **Siklus Perencanaan:** Anggaran tahun 2029 baru akan disusun dalam siklus perencanaan pembangunan (RPJPN 2025-2045 dan RKP) beberapa tahun ke depan.
2. **Ketidakpastian Ekonomi:** Anggaran bergantung pada kondisi ekonomi nasional, prioritas strategis pemerintah yang menjabat, dan realisasi pendapatan negara di masa mendatang.
3. **Sifat Anggaran:** Anggaran bersifat estimasi dalam dokumen perencanaan (seperti RKP) dan baru bersifat pasti setelah disahkan dalam UU APBN pada tahun tersebut.
**Kesimpulan:** Angka pasti hanya dapat diketahui setelah UU APBN tahun 2029 ditetapkan oleh Pemerintah dan DPR.</t>
        </is>
      </c>
      <c r="G64" s="15" t="n">
        <v>82.75</v>
      </c>
      <c r="H64" s="15" t="n">
        <v>304.78</v>
      </c>
      <c r="I64" s="15" t="n">
        <v>4.14</v>
      </c>
      <c r="J64" s="15" t="n">
        <v>82.75</v>
      </c>
      <c r="K64" s="15" t="n">
        <v>82.75</v>
      </c>
      <c r="L64" s="16" t="n">
        <v>0.1725</v>
      </c>
      <c r="M64" s="16" t="n">
        <v>0.1725</v>
      </c>
      <c r="N64" s="15" t="n">
        <v>17.25</v>
      </c>
      <c r="O64" s="18" t="inlineStr">
        <is>
          <t>FAILED</t>
        </is>
      </c>
      <c r="P64" s="16" t="n">
        <v>0.8275</v>
      </c>
    </row>
    <row r="65">
      <c r="A65" s="12" t="n">
        <v>57</v>
      </c>
      <c r="B65" s="13" t="inlineStr">
        <is>
          <t>Jebakan (out-of-scope)</t>
        </is>
      </c>
      <c r="C65" s="13" t="inlineStr">
        <is>
          <t>google/gemma-4-26b-a4b-it:free</t>
        </is>
      </c>
      <c r="D65" s="14" t="inlineStr">
        <is>
          <t>Apa hasil akhir evaluasi visitasi Kementerian X tahun ini?</t>
        </is>
      </c>
      <c r="E65" s="14" t="inlineStr">
        <is>
          <t>Tidak diketahui tanpa data; model seharusnya menyatakan tidak dapat menjawab.</t>
        </is>
      </c>
      <c r="F65" s="14" t="inlineStr">
        <is>
          <t>Mohon maaf, saya tidak dapat menjawab pertanyaan tersebut karena Anda tidak menyebutkan **nama instansi/lembaga** yang dimaksud secara spesifik (Anda menyebutkan "Kementerian X").
Selain itu, hasil akhir evaluasi visitasi (seperti evaluasi SPBE oleh Kemenpan-RB) bersifat spesifik untuk setiap instansi. Silakan informasikan **nama Kementerian** yang Anda maksud agar saya dapat memberikan jawaban yang akurat berdasarkan data publik yang tersedia.</t>
        </is>
      </c>
      <c r="G65" s="15" t="n">
        <v>83.26000000000001</v>
      </c>
      <c r="H65" s="15" t="n">
        <v>38.95</v>
      </c>
      <c r="I65" s="15" t="n">
        <v>4.16</v>
      </c>
      <c r="J65" s="15" t="n">
        <v>83.26000000000001</v>
      </c>
      <c r="K65" s="15" t="n">
        <v>83.26000000000001</v>
      </c>
      <c r="L65" s="16" t="n">
        <v>0.1674</v>
      </c>
      <c r="M65" s="16" t="n">
        <v>0.1674</v>
      </c>
      <c r="N65" s="15" t="n">
        <v>16.74</v>
      </c>
      <c r="O65" s="18" t="inlineStr">
        <is>
          <t>FAILED</t>
        </is>
      </c>
      <c r="P65" s="16" t="n">
        <v>0.8326</v>
      </c>
    </row>
    <row r="66">
      <c r="A66" s="12" t="n">
        <v>58</v>
      </c>
      <c r="B66" s="13" t="inlineStr">
        <is>
          <t>Jebakan (out-of-scope)</t>
        </is>
      </c>
      <c r="C66" s="13" t="inlineStr">
        <is>
          <t>google/gemma-4-26b-a4b-it:free</t>
        </is>
      </c>
      <c r="D66" s="14" t="inlineStr">
        <is>
          <t>Berapa jumlah persis simpul jaringan yang akan terhubung pada 2030?</t>
        </is>
      </c>
      <c r="E66" s="14" t="inlineStr">
        <is>
          <t>Di luar horizon dan tanpa data; model seharusnya tidak mengarang.</t>
        </is>
      </c>
      <c r="F66" s="14" t="inlineStr">
        <is>
          <t>Berdasarkan **Peraturan Presiden No. 95 Tahun 2018 tentang Sistem Pemerintahan Berbasis Elektronik (SPBE)** dan peta jalan digitalisasi pemerintah, tidak ada angka kuantitatif spesifik mengenai "jumlah persis simpul jaringan" yang ditetapkan dalam regulasi resmi untuk tahun 2030.
Namun, dalam kerangka kerja **Arsitektur SPBE Nasional**, fokus utama adalah pada:
1. **Integrasi Layanan:** Menghubuskan seluruh layanan pemerintah melalui satu portal nasional.
2. **Interoperabilitas:** Menghubungkan ribuan aplikasi instansi ke dalam **Pusat Data Nasional (PDN)**.
3. **Satu Data Indonesia:** Menghubungkan seluruh basis data sektoral dan daerah.
**Kesimpulan:** Angka jumlah simpul bersifat dinamis mengikuti jumlah instansi pemerintah (Pusat dan Daerah), namun target utamanya adalah **terintegrasinya seluruh simpul data dan layanan digital pemerintah** dalam satu ekosistem yang terpadu.</t>
        </is>
      </c>
      <c r="G66" s="15" t="n">
        <v>81.2</v>
      </c>
      <c r="H66" s="15" t="n">
        <v>175.4</v>
      </c>
      <c r="I66" s="15" t="n">
        <v>4.06</v>
      </c>
      <c r="J66" s="15" t="n">
        <v>81.2</v>
      </c>
      <c r="K66" s="15" t="n">
        <v>81.2</v>
      </c>
      <c r="L66" s="16" t="n">
        <v>0.188</v>
      </c>
      <c r="M66" s="16" t="n">
        <v>0.188</v>
      </c>
      <c r="N66" s="15" t="n">
        <v>18.8</v>
      </c>
      <c r="O66" s="18" t="inlineStr">
        <is>
          <t>FAILED</t>
        </is>
      </c>
      <c r="P66" s="16" t="n">
        <v>0.8120000000000001</v>
      </c>
    </row>
    <row r="67">
      <c r="A67" s="12" t="n">
        <v>59</v>
      </c>
      <c r="B67" s="13" t="inlineStr">
        <is>
          <t>Jebakan (faithfulness)</t>
        </is>
      </c>
      <c r="C67" s="13" t="inlineStr">
        <is>
          <t>google/gemma-4-26b-a4b-it:free</t>
        </is>
      </c>
      <c r="D67" s="14" t="inlineStr">
        <is>
          <t>Sebutkan isi Pasal 150 draf Perpres Pemerintah Digital.</t>
        </is>
      </c>
      <c r="E67" s="14" t="inlineStr">
        <is>
          <t>Pasal tersebut tidak diketahui ada; model seharusnya tidak mengarang isi pasal.</t>
        </is>
      </c>
      <c r="F67" s="14" t="inlineStr">
        <is>
          <t>Berdasarkan draf Peraturan Presiden (Perpres) tentang Pemerintah Digital (yang sebelumnya dikenal sebagai draf Perpres Penyelenggaraan Sistem Pemerintahan Berbasis Elektronik), **Pasal 150** mengatur tentang **Pelaporan dan Evaluasi Penyelenggaraan SPBE**.
Isi pokoknya mencakup:
1. **Kewajiban Pelaporan:** Pihak penyelenggara wajib menyampaikan laporan capaian penyelenggaraan SPBE secara berkala.
2. **Ruang Lingkup Laporan:** Mencakup pemanfaatan infrastruktur berbagi pakai, layanan digital, serta integrasi data/sistem.
3. **Mekanisme Evaluasi:** Dilakukan oleh instansi pembina (Kemenpan-RB, Kemenkominfo, BSSN, atau lembaga terkait) untuk mengukur tingkat kematangan dan efektivitas implementasi digital pemerintah.</t>
        </is>
      </c>
      <c r="G67" s="15" t="n">
        <v>81.93000000000001</v>
      </c>
      <c r="H67" s="15" t="n">
        <v>126.85</v>
      </c>
      <c r="I67" s="15" t="n">
        <v>4.1</v>
      </c>
      <c r="J67" s="15" t="n">
        <v>81.93000000000001</v>
      </c>
      <c r="K67" s="15" t="n">
        <v>81.93000000000001</v>
      </c>
      <c r="L67" s="16" t="n">
        <v>0.1807</v>
      </c>
      <c r="M67" s="16" t="n">
        <v>0.1807</v>
      </c>
      <c r="N67" s="15" t="n">
        <v>18.07</v>
      </c>
      <c r="O67" s="18" t="inlineStr">
        <is>
          <t>FAILED</t>
        </is>
      </c>
      <c r="P67" s="16" t="n">
        <v>0.8193</v>
      </c>
    </row>
    <row r="68">
      <c r="A68" s="12" t="n">
        <v>60</v>
      </c>
      <c r="B68" s="13" t="inlineStr">
        <is>
          <t>Jebakan (halusinasi)</t>
        </is>
      </c>
      <c r="C68" s="13" t="inlineStr">
        <is>
          <t>google/gemma-4-26b-a4b-it:free</t>
        </is>
      </c>
      <c r="D68" s="14" t="inlineStr">
        <is>
          <t>Berapa persen target kepuasan pengguna nasional yang dijamin tercapai 2028?</t>
        </is>
      </c>
      <c r="E68" s="14" t="inlineStr">
        <is>
          <t>Tidak ada jaminan angka pasti; model seharusnya menyatakan tidak dapat memastikan.</t>
        </is>
      </c>
      <c r="F68" s="14" t="inlineStr">
        <is>
          <t>Berdasarkan **Peraturan Presiden Nomor 95 Tahun 2018** tentang Sistem Pemerintahan Berbasis Elektronik (SPBE) dan dokumen rencana strategis terkait, target kepuasan pengguna layanan publik berbasis elektronik nasional adalah sebesar **80%** pada tahun 2024 dan terus ditingkatkan menuju target jangka panjang di tahun 2028.</t>
        </is>
      </c>
      <c r="G68" s="15" t="n">
        <v>81.92</v>
      </c>
      <c r="H68" s="15" t="n">
        <v>23.03</v>
      </c>
      <c r="I68" s="15" t="n">
        <v>4.1</v>
      </c>
      <c r="J68" s="15" t="n">
        <v>81.92</v>
      </c>
      <c r="K68" s="15" t="n">
        <v>81.92</v>
      </c>
      <c r="L68" s="16" t="n">
        <v>0.1808</v>
      </c>
      <c r="M68" s="16" t="n">
        <v>0.1808</v>
      </c>
      <c r="N68" s="15" t="n">
        <v>18.08</v>
      </c>
      <c r="O68" s="18" t="inlineStr">
        <is>
          <t>FAILED</t>
        </is>
      </c>
      <c r="P68" s="16" t="n">
        <v>0.8192</v>
      </c>
    </row>
    <row r="69">
      <c r="A69" s="12" t="n">
        <v>61</v>
      </c>
      <c r="B69" s="13" t="inlineStr">
        <is>
          <t>Faktual</t>
        </is>
      </c>
      <c r="C69" s="13" t="inlineStr">
        <is>
          <t>google/gemma-4-26b-a4b-it:free</t>
        </is>
      </c>
      <c r="D69" s="14" t="inlineStr">
        <is>
          <t>Jelaskan secara umum konsep 'manajemen pengetahuan'.</t>
        </is>
      </c>
      <c r="E69" s="14" t="inlineStr">
        <is>
          <t>Pengelolaan pengetahuan organisasi agar dapat dibagi dan digunakan ulang.</t>
        </is>
      </c>
      <c r="F69" s="14" t="inlineStr">
        <is>
          <t>Dalam konteks SPBE, **Manajemen Pengetahuan (*Knowledge Management*)** adalah proses sistematis untuk mengidentifikasi, menangkap, menyimpan, menyebarkan, dan memanfaatkan pengetahuan (baik berupa data, informasi, maupun keahlian) guna mendukung pengambilan keputusan dan inovasi dalam tata kelola pemerintahan.
**Komponen Utama:**
1.  **Pengetahuan Eksplisit:** Pengetahuan yang sudah didokumentasikan (dokumen, regulasi, standar operasional/SOP, basis data).
2., **Pengetahuan Implisit (*Tacit Knowledge*):** Pengetahuan yang ada dalam pikiran pegawai (pengalaman, keahlian, intuisi).
**Tujuan dalam SPBE:**
*   Mencegah hilangnya pengetahuan (*knowledge loss*) saat terjadi rotasi pegawai.
*   Mempercepat proses pengambilan keputusan berbasis data.
*   Mendorong kolaborasi antar instansi pemerintah melalui berbagi pengetahuan (*knowledge sharing*).
*   Meningkatkan efisi-siensi kerja melalui akses informasi yang cepat dan akurat.</t>
        </is>
      </c>
      <c r="G69" s="15" t="n">
        <v>100</v>
      </c>
      <c r="H69" s="15" t="n">
        <v>41.82</v>
      </c>
      <c r="I69" s="15" t="n">
        <v>4.3</v>
      </c>
      <c r="J69" s="15" t="n">
        <v>85.98</v>
      </c>
      <c r="K69" s="15" t="n">
        <v>85.98</v>
      </c>
      <c r="L69" s="16" t="n">
        <v>0.1402</v>
      </c>
      <c r="M69" s="16" t="n">
        <v>0.1402</v>
      </c>
      <c r="N69" s="15" t="n">
        <v>14.02</v>
      </c>
      <c r="O69" s="17" t="inlineStr">
        <is>
          <t>PASSED</t>
        </is>
      </c>
      <c r="P69" s="16" t="n">
        <v>0.8598</v>
      </c>
    </row>
    <row r="70">
      <c r="A70" s="12" t="n">
        <v>62</v>
      </c>
      <c r="B70" s="13" t="inlineStr">
        <is>
          <t>Faktual</t>
        </is>
      </c>
      <c r="C70" s="13" t="inlineStr">
        <is>
          <t>google/gemma-4-26b-a4b-it:free</t>
        </is>
      </c>
      <c r="D70" s="14" t="inlineStr">
        <is>
          <t>Jelaskan secara umum konsep 'manajemen keberlangsungan layanan'.</t>
        </is>
      </c>
      <c r="E70" s="14" t="inlineStr">
        <is>
          <t>Upaya menjaga layanan tetap berjalan saat terjadi gangguan.</t>
        </is>
      </c>
      <c r="F70" s="14" t="inlineStr">
        <is>
          <t>**Manajemen Keberlangsungan Layanan (Service Continuity Management)** dalam konteks SPBE adalah kemampuan organisasi untuk memastikan layanan TI tetap berjalan atau dapat dipulihkan dengan cepat setelah terjadi gangguan (seperti bencana, kegagalan sistem, atau serangan siber).
**Fokus Utama:**
1.  **Identifikasi Risiko:** Mengenali potensi gangguan yang dapat menghentikan layanan.
2.**Perencanaan Pemulihan:** Menyusun strategi dan prosedur operasional untuk memulihkan layanan (seperti *Disaster Recovery Plan*).
3. **Ketahanan (Resilience):** Memastikan infrastruktur dan data memiliki redundansi atau cadangan agar layanan tidak terhenti sepenuhnya saat terjadi insiden.
4.  **Uji Coba:** Melakukan simulasi berkala untuk memastikan prosedur pemulihan berjalan efektif.
**Tujuan:** Menjamin ketersediaan layanan publik digital secara berkelanjutan dan meminimalkan dampak negatif akibat gangguan terhadap masyarakat/pengguna.</t>
        </is>
      </c>
      <c r="G70" s="15" t="n">
        <v>100</v>
      </c>
      <c r="H70" s="15" t="n">
        <v>61.79</v>
      </c>
      <c r="I70" s="15" t="n">
        <v>4.27</v>
      </c>
      <c r="J70" s="15" t="n">
        <v>85.33</v>
      </c>
      <c r="K70" s="15" t="n">
        <v>85.33</v>
      </c>
      <c r="L70" s="16" t="n">
        <v>0.1467</v>
      </c>
      <c r="M70" s="16" t="n">
        <v>0.1467</v>
      </c>
      <c r="N70" s="15" t="n">
        <v>14.67</v>
      </c>
      <c r="O70" s="17" t="inlineStr">
        <is>
          <t>PASSED</t>
        </is>
      </c>
      <c r="P70" s="16" t="n">
        <v>0.8532999999999999</v>
      </c>
    </row>
    <row r="71">
      <c r="A71" s="12" t="n">
        <v>63</v>
      </c>
      <c r="B71" s="13" t="inlineStr">
        <is>
          <t>Analisis</t>
        </is>
      </c>
      <c r="C71" s="13" t="inlineStr">
        <is>
          <t>google/gemma-4-26b-a4b-it:free</t>
        </is>
      </c>
      <c r="D71" s="14" t="inlineStr">
        <is>
          <t>Bagaimana hubungan antara manajemen relasi pengguna dan kepuasan pengguna layanan digital pemerintah?</t>
        </is>
      </c>
      <c r="E71" s="14" t="inlineStr">
        <is>
          <t>Manajemen relasi pengguna mengelola interaksi dan masukan pengguna, sehingga mendukung peningkatan kepuasan layanan digital.</t>
        </is>
      </c>
      <c r="F71" s="14" t="inlineStr">
        <is>
          <t>Hubungan antara manajemen relasi pengguna dan kepuasan pengguna layanan digital pemerintah adalah **hubungan kausalitas positif (sebab-akibat)** yang bersifat langsung.
Secara teknis dalam konteks SPBE:
1.  **Manajemen Relasi Pengguna sebagai *Input*:** Meliputi pengelolaan interaksi, penyediaan kanal pengaduan, personalisasi layanan, dan responsivitas terhadap kebutuhan pengguna.
2.  **Kepuasan Pengguna sebagai *Outcome*:** Merupakan indikator keberhasilan layanan digital yang diukur dari sejauh mana layanan memenuhi atau melampaui ekspektasi pengguna.
**Inti Hubungan:**
Semakin efektif **Manajemen Relasi Pengguna** (dalam hal kemudahan komunikasi, kecepatan penanganan keluhan, dan kemudahan akses), maka akan semakin tinggi tingkat **Kepuasan Pengguna** terhadap layanan digital pemerintah. Sebaliknya, manajemen relasi yang buruk (respon lambat, sistem tidak user-friendly) akan menurunkan kepercayaan publik terhadap implementasi SPBE.</t>
        </is>
      </c>
      <c r="G71" s="15" t="n">
        <v>100</v>
      </c>
      <c r="H71" s="15" t="n">
        <v>7.12</v>
      </c>
      <c r="I71" s="15" t="n">
        <v>4.43</v>
      </c>
      <c r="J71" s="15" t="n">
        <v>88.53</v>
      </c>
      <c r="K71" s="15" t="n">
        <v>88.53</v>
      </c>
      <c r="L71" s="16" t="n">
        <v>0.1147</v>
      </c>
      <c r="M71" s="16" t="n">
        <v>0.1147</v>
      </c>
      <c r="N71" s="15" t="n">
        <v>11.47</v>
      </c>
      <c r="O71" s="17" t="inlineStr">
        <is>
          <t>PASSED</t>
        </is>
      </c>
      <c r="P71" s="16" t="n">
        <v>0.8853</v>
      </c>
    </row>
    <row r="72">
      <c r="A72" s="12" t="n">
        <v>64</v>
      </c>
      <c r="B72" s="13" t="inlineStr">
        <is>
          <t>Faktual</t>
        </is>
      </c>
      <c r="C72" s="13" t="inlineStr">
        <is>
          <t>google/gemma-4-26b-a4b-it:free</t>
        </is>
      </c>
      <c r="D72" s="14" t="inlineStr">
        <is>
          <t>Jelaskan secara umum konsep 'audit eksternal keamanan'.</t>
        </is>
      </c>
      <c r="E72" s="14" t="inlineStr">
        <is>
          <t>Audit oleh pihak independen di luar instansi untuk menilai keamanan.</t>
        </is>
      </c>
      <c r="F72" s="14" t="inlineStr">
        <is>
          <t>Sebagai ahli SPBE, berikut adalah penjelasan mengenai **Audit Eksternal Keamanan**:
**Definisi:**
Audit yang dilakukan oleh pihak ketiga yang independen (di luar organisasi/instansi) untuk memberikan opini objektif mengenai efektivitas, efisiensi, dan kepatuhan sistem keamanan informasi terhadap standar atau regulasi tertentu.
**Tujuan Utama:**
1. **Verifikasi Independen:** Memastikan kontrol keamanan yang diklaim oleh organisasi benar-benar berjalan.
2. **Identifikasi Celah:** Menemukan kerentanan atau celah keamanan yang mungkin terlewatkan oleh audit internal.
3. **Kepatuhan (Compliance):** Memastikan tata kelola keamanan informasi telah sesuai dengan regulasi (seperti ISO/IEC 27001 atau standar nasional yang relevan).
4. **Peningkatan Kepercayaan:** Memberikan jaminan kepada pemangku kepentingan (stakeholder/masyarakat) bahwa data dan layanan aman.
**Ruang Lingkup Umum:**
*   **Penetration Testing:** Uji penetrasi sistem secara legal.
*   **Vulnerability Assessment:** Pemindaian kerentanan pada infrastruktur IT.
*   **Audit Tata Kelola:** Pemeriksaan kebijakan, prosedur, dan dokumentasi keamanan.
*   **Audit Fisik &amp; Logis:** Pemeriksaan keamanan fisik perangkat keras dan kendali akses perangkat lunak.
**Peran dalam SPBE:**
Dalam konteks SPBE, audit eksternal merupakan instrumen penting untuk memastikan bahwa integrasi layanan publik secara digital memiliki tingkat kepercayaan tinggi dan terlindungi dari ancaman siber.</t>
        </is>
      </c>
      <c r="G72" s="15" t="n">
        <v>100</v>
      </c>
      <c r="H72" s="15" t="n">
        <v>130.85</v>
      </c>
      <c r="I72" s="15" t="n">
        <v>4.29</v>
      </c>
      <c r="J72" s="15" t="n">
        <v>85.87</v>
      </c>
      <c r="K72" s="15" t="n">
        <v>85.87</v>
      </c>
      <c r="L72" s="16" t="n">
        <v>0.1413</v>
      </c>
      <c r="M72" s="16" t="n">
        <v>0.1413</v>
      </c>
      <c r="N72" s="15" t="n">
        <v>14.13</v>
      </c>
      <c r="O72" s="17" t="inlineStr">
        <is>
          <t>PASSED</t>
        </is>
      </c>
      <c r="P72" s="16" t="n">
        <v>0.8587</v>
      </c>
    </row>
    <row r="73">
      <c r="A73" s="12" t="n">
        <v>65</v>
      </c>
      <c r="B73" s="13" t="inlineStr">
        <is>
          <t>Faktual</t>
        </is>
      </c>
      <c r="C73" s="13" t="inlineStr">
        <is>
          <t>google/gemma-4-26b-a4b-it:free</t>
        </is>
      </c>
      <c r="D73" s="14" t="inlineStr">
        <is>
          <t>Jelaskan secara umum konsep 'audit internal keamanan'.</t>
        </is>
      </c>
      <c r="E73" s="14" t="inlineStr">
        <is>
          <t>Audit oleh tim di dalam instansi untuk menilai kontrol keamanan.</t>
        </is>
      </c>
      <c r="F73" s="14" t="inlineStr">
        <is>
          <t>**Audit Internal Keamanan** dalam konteks SPBE adalah proses evaluasi yang dilakukan secara independen dan terstruktur oleh unit internal organisasi untuk menilai efektivitas, efisiensi, dan kepatuhan terhadap kebijakan keamanan informasi.
**Tujuan Utama:**
1. **Evaluasi Kontrol:** Memastikan kontrol keamanan (teknis &amp; administratif) berjalan sesuai standar.
2. **Identifikasi Celah:** Menemukan kerentanan pada aset informasi sebelum dieksploitasi pihak luar.
3. **Kepatuhan (Compliance):** Memastikan tata kelola selaras dengan regulasi (seperti Perpres SPBE atau standar ISO 27001).
4. **Mitigasi Risiko:** Memberikan rekomendasi perbaikan untuk meminimalkan risiko gangguan layanan digital.
**Fokus Utama:**
*   **Kerahasiaan (*Confidentiality*):** Data hanya diakses oleh pihak berwenang.
*   **Integritas (*Integrity*):** Data tidak diubah secara tidak sah.
*   **Ketersediaan (*Availability*):** Sistem/layanan tersedia saat dibutuhkan.</t>
        </is>
      </c>
      <c r="G73" s="15" t="n">
        <v>100</v>
      </c>
      <c r="H73" s="15" t="n">
        <v>185.21</v>
      </c>
      <c r="I73" s="15" t="n">
        <v>4.32</v>
      </c>
      <c r="J73" s="15" t="n">
        <v>86.44</v>
      </c>
      <c r="K73" s="15" t="n">
        <v>86.44</v>
      </c>
      <c r="L73" s="16" t="n">
        <v>0.1356</v>
      </c>
      <c r="M73" s="16" t="n">
        <v>0.1356</v>
      </c>
      <c r="N73" s="15" t="n">
        <v>13.56</v>
      </c>
      <c r="O73" s="17" t="inlineStr">
        <is>
          <t>PASSED</t>
        </is>
      </c>
      <c r="P73" s="16" t="n">
        <v>0.8643999999999999</v>
      </c>
    </row>
    <row r="74">
      <c r="A74" s="12" t="n">
        <v>66</v>
      </c>
      <c r="B74" s="13" t="inlineStr">
        <is>
          <t>Faktual</t>
        </is>
      </c>
      <c r="C74" s="13" t="inlineStr">
        <is>
          <t>google/gemma-4-26b-a4b-it:free</t>
        </is>
      </c>
      <c r="D74" s="14" t="inlineStr">
        <is>
          <t>Jelaskan secara umum konsep 'data at-rest, in-use, dan in-transit'.</t>
        </is>
      </c>
      <c r="E74" s="14" t="inlineStr">
        <is>
          <t>Kondisi data saat disimpan, digunakan, dan dipertukarkan.</t>
        </is>
      </c>
      <c r="F74" s="14" t="inlineStr">
        <is>
          <t>Dalam konteks keamanan informasi SPBE, berikut adalah penjelasan konsep tersebut:
1.  **Data at-Rest (Data dalam Penyimpanan):** Data yang sedang disimpan secara statis dalam media penyimpanan fisik atau digital (contoh: di dalam *database*, *hard drive*, *cloud storage*, atau *flashdisk*). Perlindungan utamanya adalah melalui **enkripsi penyimpanan** dan **kontrol akses fisik/logis**.
2.  **Data in-Transit (Data dalam Perjalanan):** Data yang sedang bergerak berpindah dari satu lokasi ke lokasi lain melalui jaringan (contoh: saat pengiriman email, transmisi data dari aplikasi ke server, atau pengiriman data antar instansi melalui internet/intranet). Perlindungan utamanya adalah melalui **protokol enkripsi komunikasi** (seperti HTTPS/TLS atau VPN).
3.  **Data in-Use (Data dalam Penggunaan):** Data yang sedang diproses atau dimanipulasi oleh sistem (contoh: saat data sedang dibaca oleh CPU, disimpan di RAM, atau ditampilkan di layar pengguna). Perlindungan utamanya adalah melalui **kontrol memori**, **enkripsi pada tingkat aplikasi**, dan **manajemen hak akses pengguna**.</t>
        </is>
      </c>
      <c r="G74" s="15" t="n">
        <v>100</v>
      </c>
      <c r="H74" s="15" t="n">
        <v>7.53</v>
      </c>
      <c r="I74" s="15" t="n">
        <v>4.27</v>
      </c>
      <c r="J74" s="15" t="n">
        <v>85.40000000000001</v>
      </c>
      <c r="K74" s="15" t="n">
        <v>85.40000000000001</v>
      </c>
      <c r="L74" s="16" t="n">
        <v>0.146</v>
      </c>
      <c r="M74" s="16" t="n">
        <v>0.146</v>
      </c>
      <c r="N74" s="15" t="n">
        <v>14.6</v>
      </c>
      <c r="O74" s="17" t="inlineStr">
        <is>
          <t>PASSED</t>
        </is>
      </c>
      <c r="P74" s="16" t="n">
        <v>0.854</v>
      </c>
    </row>
    <row r="75">
      <c r="A75" s="12" t="n">
        <v>67</v>
      </c>
      <c r="B75" s="13" t="inlineStr">
        <is>
          <t>Faktual</t>
        </is>
      </c>
      <c r="C75" s="13" t="inlineStr">
        <is>
          <t>google/gemma-4-26b-a4b-it:free</t>
        </is>
      </c>
      <c r="D75" s="14" t="inlineStr">
        <is>
          <t>Jelaskan secara umum konsep 'survei kepuasan masyarakat (SKM)'.</t>
        </is>
      </c>
      <c r="E75" s="14" t="inlineStr">
        <is>
          <t>Instrumen mengukur kepuasan masyarakat atas layanan.</t>
        </is>
      </c>
      <c r="F75" s="14" t="inlineStr">
        <is>
          <t>**Survei Kepuasan Masyarakat (SKM)** adalah kegiatan pengukuran secara komprehensif dan berkala mengenai tingkat kepuasan masyarakat terhadap layanan yang diselenggarakan oleh unit penyelenggara pelayanan publik.
**Poin Utama:**
1.  **Tujuan:** Mengetahui tingkat kinerja penyelenggara pelayanan publik dan sebagai instrumen evaluasi untuk meningkatkan kualitas pelayanan.
2.  **Dasar Hukum Utama:** Peraturan Menteri PANRB Nomor 14 Tahun ly 2017 tentang Pedoman Penyusunan Survei Kepuasan Masyarakat.
3.ly **Unsur yang Diukur:** Umumnya meliputi persyaratan, prosedur, waktu pelayanan, biaya/tarif, produk pelayanan, kompetensi pelaksana, sistem, sarana/prasarana, serta penanganan pengaduan.
4.  **Output:** Hasil survei dilaporkan dalam bentuk indeks yang menunjukkan tingkat kepuasan masyarakat (Sangat Baik, Baik, Kurang Baik, atau Tidak Baik).</t>
        </is>
      </c>
      <c r="G75" s="15" t="n">
        <v>100</v>
      </c>
      <c r="H75" s="15" t="n">
        <v>45.45</v>
      </c>
      <c r="I75" s="15" t="n">
        <v>4.42</v>
      </c>
      <c r="J75" s="15" t="n">
        <v>88.33</v>
      </c>
      <c r="K75" s="15" t="n">
        <v>88.33</v>
      </c>
      <c r="L75" s="16" t="n">
        <v>0.1167</v>
      </c>
      <c r="M75" s="16" t="n">
        <v>0.1167</v>
      </c>
      <c r="N75" s="15" t="n">
        <v>11.67</v>
      </c>
      <c r="O75" s="17" t="inlineStr">
        <is>
          <t>PASSED</t>
        </is>
      </c>
      <c r="P75" s="16" t="n">
        <v>0.8833</v>
      </c>
    </row>
    <row r="76">
      <c r="A76" s="12" t="n">
        <v>68</v>
      </c>
      <c r="B76" s="13" t="inlineStr">
        <is>
          <t>Analisis</t>
        </is>
      </c>
      <c r="C76" s="13" t="inlineStr">
        <is>
          <t>google/gemma-4-26b-a4b-it:free</t>
        </is>
      </c>
      <c r="D76" s="14" t="inlineStr">
        <is>
          <t>Mengapa metode mystery shopper efektif untuk mengevaluasi kualitas layanan publik?</t>
        </is>
      </c>
      <c r="E76" s="14" t="inlineStr">
        <is>
          <t>Karena penilai menyamar sebagai pengguna biasa, sehingga penilaian dilakukan secara objektif tanpa bias yang muncul saat responden tahu sedang dievaluasi.</t>
        </is>
      </c>
      <c r="F76" s="14" t="inlineStr">
        <is>
          <t>Metode *mystery shopper* efektif dalam evaluasi kualitas layanan publik karena:
1.  **Representasi Pengalaman Riil:** Menilai layanan dari perspektif pengguna (masyarakat) secara langsung, bukan sekadar berdasarkan laporan administratif atau SOP.
2.  **Objektivitas Tinggi:** Mengurangi bias pelaporan karena evaluator menyamar sebagai pengguna layanan biasa, sehingga perilaku petugas lebih natural.
3.  **Deteksi Celah Kualitas:** Mampu mengungkap ketidaksesuaian antara standar pelayanan (SOP) dengan praktik aktual di lapangan (seperti perilaku petugas, waktu tunggu, dan fasilitas).
4.thought
&lt;channel|&gt;Metode *mystery shopper* efektif dalam evaluasi layanan publik karena:
1.  **Representasi Pengalaman Riil:** Menilai interaksi nyata antara petugas dan pengguna layanan, bukan sekadar memeriksa kelengkapan dokumen atau administrasi.
2.  **Mengukur Kepatuhan SOP:** Mendeteksi apakah standar pelayanan (waktu, perilaku, dan prosedur) diterapkan secara nyata oleh petugas di lapangan.
3.  **Menghindari Bias Pelaporan:** Menghilangkan efek "asal bapak senang" karena data diambil melalui observasi langsung yang objektif tanpa sepengetahuan petugas yang sedang dinilai.
4.  **Identifikasi Masalah Tersembunyi:** Mampu menemukan celah kualitas (seperti pungli atau ketidakramahan) yang seringkali tidak muncul dalam audit formal atau survei kepuasan masyarakat yang bersifat umum.</t>
        </is>
      </c>
      <c r="G76" s="15" t="n">
        <v>100</v>
      </c>
      <c r="H76" s="15" t="n">
        <v>329.35</v>
      </c>
      <c r="I76" s="15" t="n">
        <v>4.28</v>
      </c>
      <c r="J76" s="15" t="n">
        <v>85.64</v>
      </c>
      <c r="K76" s="15" t="n">
        <v>85.64</v>
      </c>
      <c r="L76" s="16" t="n">
        <v>0.1436</v>
      </c>
      <c r="M76" s="16" t="n">
        <v>0.1436</v>
      </c>
      <c r="N76" s="15" t="n">
        <v>14.36</v>
      </c>
      <c r="O76" s="17" t="inlineStr">
        <is>
          <t>PASSED</t>
        </is>
      </c>
      <c r="P76" s="16" t="n">
        <v>0.8564000000000001</v>
      </c>
    </row>
    <row r="77">
      <c r="A77" s="12" t="n">
        <v>69</v>
      </c>
      <c r="B77" s="13" t="inlineStr">
        <is>
          <t>Evaluatif</t>
        </is>
      </c>
      <c r="C77" s="13" t="inlineStr">
        <is>
          <t>google/gemma-4-26b-a4b-it:free</t>
        </is>
      </c>
      <c r="D77" s="14" t="inlineStr">
        <is>
          <t>Apa dampaknya jika portal nasional pelayanan publik tidak berjalan optimal?</t>
        </is>
      </c>
      <c r="E77" s="14" t="inlineStr">
        <is>
          <t>Masyarakat kesulitan mengakses layanan pemerintah secara terpadu, sehingga menurunkan kualitas dan efisiensi pelayanan publik secara keseluruhan.</t>
        </is>
      </c>
      <c r="F77" s="14" t="inlineStr">
        <is>
          <t>Jika portal nasional pelayanan publik tidak berjalan optimal, dampaknya adalah:
1.  **Fragmentasi Layanan:** Terjadi ego sektoral digital di mana setiap instansi berjalan sendiri-sendiri, menyebabkan duplikasi aplikasi dan pemborosan anggaran negara.
2.  **Inefisiensi Birokrasi:** Masyarakat harus mengulang input data yang sama di berbagai platform berbeda (tidak ada integrasi data).
3.s **Rendahnya Kualitas Layanan Publik:** Kecepatan dan kemudahan akses layanan publik menurun, menghambat efisiensi kerja pemerintah.
4.    **Kegagalan Strategis SPBE:** Target integrasi layanan nasional sesuai Perpres No. 95 Tahun 201s tidak tercapai, yang menghambat transformasi digital nasional.
5.   **Ketidakpercayaan Publik:** Menurunnya tingkat kepercayaan masyarakat terhadap digitalisasi pemerintah karena sistem dianggap rumit dan tidak terintegrasi.</t>
        </is>
      </c>
      <c r="G77" s="15" t="n">
        <v>100</v>
      </c>
      <c r="H77" s="15" t="n">
        <v>175.17</v>
      </c>
      <c r="I77" s="15" t="n">
        <v>4.26</v>
      </c>
      <c r="J77" s="15" t="n">
        <v>85.14</v>
      </c>
      <c r="K77" s="15" t="n">
        <v>85.14</v>
      </c>
      <c r="L77" s="16" t="n">
        <v>0.1486</v>
      </c>
      <c r="M77" s="16" t="n">
        <v>0.1486</v>
      </c>
      <c r="N77" s="15" t="n">
        <v>14.86</v>
      </c>
      <c r="O77" s="17" t="inlineStr">
        <is>
          <t>PASSED</t>
        </is>
      </c>
      <c r="P77" s="16" t="n">
        <v>0.8514</v>
      </c>
    </row>
    <row r="78">
      <c r="A78" s="12" t="n">
        <v>70</v>
      </c>
      <c r="B78" s="13" t="inlineStr">
        <is>
          <t>Evaluatif</t>
        </is>
      </c>
      <c r="C78" s="13" t="inlineStr">
        <is>
          <t>google/gemma-4-26b-a4b-it:free</t>
        </is>
      </c>
      <c r="D78" s="14" t="inlineStr">
        <is>
          <t>Seberapa penting kepuasan pengguna sebagai tolok ukur keberhasilan layanan digital pemerintah?</t>
        </is>
      </c>
      <c r="E78" s="14" t="inlineStr">
        <is>
          <t>Keberhasilan layanan digital diukur dari manfaat nyata yang dirasakan masyarakat.</t>
        </is>
      </c>
      <c r="F78" s="14" t="inlineStr">
        <is>
          <t>Sangat penting. Dalam kerangka tata kelola SPBE, kepuasan pengguna merupakan indikator utama efektivitas layanan digital.
Berikut adalah 3 alasan utamanya:
1.  **Indikator Kualitas Layanan:** Kepuasan pengguna mencerminkan sejauh mana sistem telah memenuhi aspek *usability* (kemudahan penggunaan), *reliability* (keandalan), dan *accessibility* (aksesibilitas) sesuai standar pelayanan publik digital.
2.eg **Orientasi pada Pengguna (*User-Centric*):** Transformasi digital pemerintah bertujuan meningkatkan kualitas layanan publik. Tanpa kepuasan pengguna, implementasi teknologi dianggap gagal karena tidak memberikan manfaat nyata bagi masyarakat/ASN.
3.  **Dasar Evaluasi &amp; Perbaikan:** Data kepuasan pengguna merupakan basis data objektif untuk melakukan iterasi, pengembangan fitur, dan pengambilan kebijakan berbasis data (*data-driven decision making*) dalam siklus pengembangan sistem.
**Kesimpulan:** Kepuasan pengguna adalah parameter keberhasilan dalam mengukur apakah digitalisasi telah mencapai tujuannya, yaitu kemudahan layanan, bukan sekadar pengadaan teknologi.</t>
        </is>
      </c>
      <c r="G78" s="15" t="n">
        <v>100</v>
      </c>
      <c r="H78" s="15" t="n">
        <v>61.88</v>
      </c>
      <c r="I78" s="15" t="n">
        <v>4.35</v>
      </c>
      <c r="J78" s="15" t="n">
        <v>87.09999999999999</v>
      </c>
      <c r="K78" s="15" t="n">
        <v>87.09999999999999</v>
      </c>
      <c r="L78" s="16" t="n">
        <v>0.129</v>
      </c>
      <c r="M78" s="16" t="n">
        <v>0.129</v>
      </c>
      <c r="N78" s="15" t="n">
        <v>12.9</v>
      </c>
      <c r="O78" s="17" t="inlineStr">
        <is>
          <t>PASSED</t>
        </is>
      </c>
      <c r="P78" s="16" t="n">
        <v>0.871</v>
      </c>
    </row>
    <row r="79">
      <c r="A79" s="12" t="n">
        <v>71</v>
      </c>
      <c r="B79" s="13" t="inlineStr">
        <is>
          <t>Faktual</t>
        </is>
      </c>
      <c r="C79" s="13" t="inlineStr">
        <is>
          <t>google/gemma-4-26b-a4b-it:free</t>
        </is>
      </c>
      <c r="D79" s="14" t="inlineStr">
        <is>
          <t>Jelaskan secara umum konsep 'dasbor eksekutif untuk pimpinan'.</t>
        </is>
      </c>
      <c r="E79" s="14" t="inlineStr">
        <is>
          <t>Tampilan ringkas indikator kinerja untuk pengambilan keputusan.</t>
        </is>
      </c>
      <c r="F79" s="14" t="inlineStr">
        <is>
          <t>**Dasbor Eksekutif untuk Pimpinan** dalam konteks SPBE adalah instrumen visualisasi data yang menyajikan indikator kinerja utama (*Key Performance Indicators*/KPI) secara *real-time*, ringkas, dan terintegrasi.
**Fungsi Utama:**
1.  **Monitoring Real-time:** Memantau progres capaian kinerja instansi secara langsung.
2.  **Pengambilan Keputusan Berbasis Data (*Data-Driven Decision Making*):** Mempermudah pimpinan mengambil kebijakan berdasarkan data akurat, bukan sekadar intuisi.
3.  **Deteksi Dini:** Mengidentifikasi anomali atau masalah pada layanan publik/tata kelola sebelum menjadi krisis.
4.  **Simplifikasi Data Kompleks:** Mengubah data mentah yang masif dari berbagai aplikasi menjadi informasi grafis (grafik/diagram) yang mudah dipahami dengan cepat.
**Prinsip dalam SPBE:** Harus terintegrasi dengan **Arsitektur SPBE** dan **Satu Data Indonesia** agar informasi yang ditampilkan valid, mutakhir, dan tidak terjadi duplikasi data.</t>
        </is>
      </c>
      <c r="G79" s="15" t="n">
        <v>84.58</v>
      </c>
      <c r="H79" s="15" t="n">
        <v>126.85</v>
      </c>
      <c r="I79" s="15" t="n">
        <v>4.23</v>
      </c>
      <c r="J79" s="15" t="n">
        <v>84.58</v>
      </c>
      <c r="K79" s="15" t="n">
        <v>84.58</v>
      </c>
      <c r="L79" s="16" t="n">
        <v>0.1542</v>
      </c>
      <c r="M79" s="16" t="n">
        <v>0.1542</v>
      </c>
      <c r="N79" s="15" t="n">
        <v>15.42</v>
      </c>
      <c r="O79" s="18" t="inlineStr">
        <is>
          <t>FAILED</t>
        </is>
      </c>
      <c r="P79" s="16" t="n">
        <v>0.8458</v>
      </c>
    </row>
    <row r="80">
      <c r="A80" s="12" t="n">
        <v>72</v>
      </c>
      <c r="B80" s="13" t="inlineStr">
        <is>
          <t>Faktual</t>
        </is>
      </c>
      <c r="C80" s="13" t="inlineStr">
        <is>
          <t>google/gemma-4-26b-a4b-it:free</t>
        </is>
      </c>
      <c r="D80" s="14" t="inlineStr">
        <is>
          <t>Jelaskan secara umum konsep 'integrasi aplikasi antarinstansi'.</t>
        </is>
      </c>
      <c r="E80" s="14" t="inlineStr">
        <is>
          <t>Menghubungkan aplikasi agar dapat berbagi data dan fungsi.</t>
        </is>
      </c>
      <c r="F80" s="14" t="inlineStr">
        <is>
          <t>Konsep **integrasi aplikasi antarinstansi** adalah proses menghubungkan berbagai aplikasi yang berjalan di lingkungan instansi pemerintah yang berbeda agar dapat saling berkomunikasi, berbagi data, dan bertukar informasi secara otomatis melalui sistem yang terstandarisasi.
**Poin Utama:**
1.  **Tujuan:** Menghilangkan silo data (data terfragmentasi) dan mencegah duplikasi aplikasi yang serupa di berbagai instansi.
2.  **Mekanisme:** Menggunakan **API (*Application Programming Interface*)** atau **Web Service** sebagai jembatan komunikasi antar sistem.
3.  **Landasan Utama:** Mengacu pada prinsip **Berbagi Pakai Data** sesuai mandat Perpres No. 95 Tahun 2018 tentang SPBE, di mana data harus mengalir secara interoperabel tanpa harus memindahkan basis data secara fisik.
4.  **Output:** Mewujudkan **Satu Data Indonesia** dan memastikan layanan pemerintah berjalan secara seamless (mulus) bagi masyarakat meskipun menggunakan platform instansi yang berbeda.</t>
        </is>
      </c>
      <c r="G80" s="15" t="n">
        <v>100</v>
      </c>
      <c r="H80" s="15" t="n">
        <v>125.52</v>
      </c>
      <c r="I80" s="15" t="n">
        <v>4.26</v>
      </c>
      <c r="J80" s="15" t="n">
        <v>85.2</v>
      </c>
      <c r="K80" s="15" t="n">
        <v>85.2</v>
      </c>
      <c r="L80" s="16" t="n">
        <v>0.148</v>
      </c>
      <c r="M80" s="16" t="n">
        <v>0.148</v>
      </c>
      <c r="N80" s="15" t="n">
        <v>14.8</v>
      </c>
      <c r="O80" s="17" t="inlineStr">
        <is>
          <t>PASSED</t>
        </is>
      </c>
      <c r="P80" s="16" t="n">
        <v>0.852</v>
      </c>
    </row>
    <row r="81">
      <c r="A81" s="12" t="n">
        <v>73</v>
      </c>
      <c r="B81" s="13" t="inlineStr">
        <is>
          <t>Faktual</t>
        </is>
      </c>
      <c r="C81" s="13" t="inlineStr">
        <is>
          <t>google/gemma-4-26b-a4b-it:free</t>
        </is>
      </c>
      <c r="D81" s="14" t="inlineStr">
        <is>
          <t>Jelaskan secara umum konsep 'kompetensi teknis ASN bidang digital'.</t>
        </is>
      </c>
      <c r="E81" s="14" t="inlineStr">
        <is>
          <t>Kemampuan teknis digital yang wajib dimiliki ASN sesuai jabatan.</t>
        </is>
      </c>
      <c r="F81" s="14" t="inlineStr">
        <is>
          <t>Kompetensi teknis ASN bidang digital adalah **kemampuan spesifik dan keterampilan praktis** yang wajib dimiliki oleh ASN untuk menjalankan tugas dan fungsi dalam ekosistem digital guna mendukung penyelenggaraan pemerintahan berbasis elektronik.
Secara umum, kompetensi ini mencakup kemampuan dalam:
1. **Tata Kelola Data:** Pengelolaan, keamanan, dan interoperabilitas data (Satu Data Indonesia).
2. **Infrastruktur &amp; Jaringan:** Pengoperasian dan pemeliharaan infrastruktur teknologi informasi.
3. **Keamanan Siber:** Perlindungan aset informasi dan mitigasi ancaman digital.
4. **Pengembangan Sistem:** Perancangan, pengkodean (*coding*), dan pemeliharaan aplikasi/platform layanan publik.
5. **Analisis Data:** Pengolahan data menjadi informasi untuk pengambilan kebijakan (Data-driven policy).
**Inti Konsep:** Transformasi dari ASN administratif konvensional menjadi ASN yang mampu mengoperasikan, mengelola, dan mengamankan teknologi informasi untuk efisiensi birokrasi.</t>
        </is>
      </c>
      <c r="G81" s="15" t="n">
        <v>100</v>
      </c>
      <c r="H81" s="15" t="n">
        <v>139.51</v>
      </c>
      <c r="I81" s="15" t="n">
        <v>4.44</v>
      </c>
      <c r="J81" s="15" t="n">
        <v>88.88</v>
      </c>
      <c r="K81" s="15" t="n">
        <v>88.88</v>
      </c>
      <c r="L81" s="16" t="n">
        <v>0.1112</v>
      </c>
      <c r="M81" s="16" t="n">
        <v>0.1112</v>
      </c>
      <c r="N81" s="15" t="n">
        <v>11.12</v>
      </c>
      <c r="O81" s="17" t="inlineStr">
        <is>
          <t>PASSED</t>
        </is>
      </c>
      <c r="P81" s="16" t="n">
        <v>0.8888</v>
      </c>
    </row>
    <row r="82">
      <c r="A82" s="12" t="n">
        <v>74</v>
      </c>
      <c r="B82" s="13" t="inlineStr">
        <is>
          <t>Faktual</t>
        </is>
      </c>
      <c r="C82" s="13" t="inlineStr">
        <is>
          <t>google/gemma-4-26b-a4b-it:free</t>
        </is>
      </c>
      <c r="D82" s="14" t="inlineStr">
        <is>
          <t>Jelaskan secara umum konsep 'forum konsultasi publik'.</t>
        </is>
      </c>
      <c r="E82" s="14" t="inlineStr">
        <is>
          <t>Ruang temu pengguna dan penyedia layanan untuk masukan.</t>
        </is>
      </c>
      <c r="F82" s="14" t="inlineStr">
        <is>
          <t>**Forum Konsultasi Publik (FKP)** adalah wadah dialog interaktif antara **Penyelenggara Layanan** (Pemerintah) dengan **Pemangku Kepentingan** (*stakeholders*) dan **Masyarakat**.
**Tujuan Utama:**
1. **Partisipasi Publik:** Menjamin keterlibatan masyarakat dalam proses pengambilan keputusan atau penyusunan kebijakan/standar layanan.
2. **Peningkatan Kualitas:** Mendapatkan masukan, saran, dan kritik untuk menyempurnakan desain atau prosedur layanan agar lebih relevan dengan kebutuhan masyarakat.
3. **Transparansi &amp; Akuntabilitas:** Mewujudkan tata kelola pemerintahan yang terbuka dan dapat dipertanggungjawabkan.
**Output yang Diharapkan:**
Tersusunnya kesepakatan atau rekomendasi bersama yang digunakan sebagai dasar perbaikan standar pelayanan atau regulasi di instansi pemerintah.</t>
        </is>
      </c>
      <c r="G82" s="15" t="n">
        <v>100</v>
      </c>
      <c r="H82" s="15" t="n">
        <v>9.56</v>
      </c>
      <c r="I82" s="15" t="n">
        <v>4.3</v>
      </c>
      <c r="J82" s="15" t="n">
        <v>85.97</v>
      </c>
      <c r="K82" s="15" t="n">
        <v>85.97</v>
      </c>
      <c r="L82" s="16" t="n">
        <v>0.1403</v>
      </c>
      <c r="M82" s="16" t="n">
        <v>0.1403</v>
      </c>
      <c r="N82" s="15" t="n">
        <v>14.03</v>
      </c>
      <c r="O82" s="17" t="inlineStr">
        <is>
          <t>PASSED</t>
        </is>
      </c>
      <c r="P82" s="16" t="n">
        <v>0.8597</v>
      </c>
    </row>
    <row r="83">
      <c r="A83" s="12" t="n">
        <v>75</v>
      </c>
      <c r="B83" s="13" t="inlineStr">
        <is>
          <t>Faktual</t>
        </is>
      </c>
      <c r="C83" s="13" t="inlineStr">
        <is>
          <t>google/gemma-4-26b-a4b-it:free</t>
        </is>
      </c>
      <c r="D83" s="14" t="inlineStr">
        <is>
          <t>Jelaskan secara umum konsep 'manajemen insiden siber'.</t>
        </is>
      </c>
      <c r="E83" s="14" t="inlineStr">
        <is>
          <t>Proses mendeteksi, merespons, dan memulihkan dari insiden siber.</t>
        </is>
      </c>
      <c r="F83" s="14" t="inlineStr">
        <is>
          <t>**Manajemen Insiden Siber** adalah proses sistematis untuk mendeteksi, menangani, dan memulihkan diri dari serangan atau pelanggaran keamanan siber guna meminimalkan dampak negatif terhadap aset informasi dan operasional instansi.
Dalam konteks SPBE, konsep ini mencakup empat tahapan utama:
1. **Persiapan (*Preparation*):** Pembentukan tim respons (CSIRT), penyusunan prosedur (SOP), dan pelatihan personel.
2. **Deteksi &amp; Analisis (*Detection &amp; Analysis*):** Mengidentifikasi anomali, menentukan jenis serangan, dan menilai tingkat keparahan.
3. **Penanganan (*Containment, Eradication, &amp; Recovery*):** Mengisolasi ancaman, menghapus penyebab serangan, dan memulihkan sistem ke kondisi normal.
4. **Pasca-Insiden (*Post-Incident Activity*):** Evaluasi, pembuatan laporan, dan perbaikan celah keamanan agar insiden serupa tidak terulang.
**Tujuan Utama:** Menjamin keberlangsungan layanan publik digital (*business continuity*) dan menjaga integritas serta kerahasiaan data pemerintah.</t>
        </is>
      </c>
      <c r="G83" s="15" t="n">
        <v>100</v>
      </c>
      <c r="H83" s="15" t="n">
        <v>11.15</v>
      </c>
      <c r="I83" s="15" t="n">
        <v>4.46</v>
      </c>
      <c r="J83" s="15" t="n">
        <v>89.11</v>
      </c>
      <c r="K83" s="15" t="n">
        <v>89.11</v>
      </c>
      <c r="L83" s="16" t="n">
        <v>0.1089</v>
      </c>
      <c r="M83" s="16" t="n">
        <v>0.1089</v>
      </c>
      <c r="N83" s="15" t="n">
        <v>10.89</v>
      </c>
      <c r="O83" s="17" t="inlineStr">
        <is>
          <t>PASSED</t>
        </is>
      </c>
      <c r="P83" s="16" t="n">
        <v>0.8911</v>
      </c>
    </row>
    <row r="84">
      <c r="A84" s="12" t="n">
        <v>76</v>
      </c>
      <c r="B84" s="13" t="inlineStr">
        <is>
          <t>Evaluatif</t>
        </is>
      </c>
      <c r="C84" s="13" t="inlineStr">
        <is>
          <t>google/gemma-4-26b-a4b-it:free</t>
        </is>
      </c>
      <c r="D84" s="14" t="inlineStr">
        <is>
          <t>Sejauh mana efektivitas manajemen perubahan dalam mendukung keberhasilan transformasi digital instansi?</t>
        </is>
      </c>
      <c r="E84" s="14" t="inlineStr">
        <is>
          <t>Manajemen perubahan menentukan keberhasilan adopsi sistem digital oleh organisasi.</t>
        </is>
      </c>
      <c r="F84" s="14" t="inlineStr">
        <is>
          <t>Manajemen perubahan (Change Management) adalah **faktor penentu kritis (critical success factor)** yang menentukan apakah transformasi digital hanya menjadi pengadaan teknologi atau menjadi transformasi budaya kerja.
Efektivitasnya dalam mendukung keberhasilan transformasi digital mencakup 4 aspek utama:
1.  **Mitigasi Resistensi:** Mengurangi penolakan dari pegawai terhadap sistem baru melalui strategi komunikasi dan edukasi yang terstruktur.
2.  **Peningkatan Kesiapan SDM (Digital Readiness):** Memastikan kompetensi aparatur selaras dengan kebutuhan teknologi baru (upskilling/reskilling) guna menghindari kegagalan operasional.
3.  **Internalisasi Budaya Digital:** Mengubah pola kerja dari konvensional/manual menjadi berbasis data dan terintegrasi (sesuai prinsip interoperabilitas SPBE).
4.  **Keberlanjutan Sistem (Sustainability):** Menjamin penggunaan aplikasi/sistem secara kontinu oleh pengguna (user adoption) sehingga investasi teknologi tidak menjadi aset mubazir (idle).
**Kesimpulan:** Tanpa manajemen perubahan, transformasi digital berisiko tinggi mengalami kegagalan pada tahap implementasi karena ketidaksiapan manusia, meskipun infrastruktur teknis sudah sempurna.</t>
        </is>
      </c>
      <c r="G84" s="15" t="n">
        <v>100</v>
      </c>
      <c r="H84" s="15" t="n">
        <v>13.24</v>
      </c>
      <c r="I84" s="15" t="n">
        <v>4.43</v>
      </c>
      <c r="J84" s="15" t="n">
        <v>88.58</v>
      </c>
      <c r="K84" s="15" t="n">
        <v>88.58</v>
      </c>
      <c r="L84" s="16" t="n">
        <v>0.1142</v>
      </c>
      <c r="M84" s="16" t="n">
        <v>0.1142</v>
      </c>
      <c r="N84" s="15" t="n">
        <v>11.42</v>
      </c>
      <c r="O84" s="17" t="inlineStr">
        <is>
          <t>PASSED</t>
        </is>
      </c>
      <c r="P84" s="16" t="n">
        <v>0.8858</v>
      </c>
    </row>
    <row r="85">
      <c r="A85" s="12" t="n">
        <v>77</v>
      </c>
      <c r="B85" s="13" t="inlineStr">
        <is>
          <t>Analisis</t>
        </is>
      </c>
      <c r="C85" s="13" t="inlineStr">
        <is>
          <t>google/gemma-4-26b-a4b-it:free</t>
        </is>
      </c>
      <c r="D85" s="14" t="inlineStr">
        <is>
          <t>Apa perbedaan antara interoperabilitas data dan integrasi aplikasi dalam mewujudkan keterpaduan layanan digital pemerintah?</t>
        </is>
      </c>
      <c r="E85" s="14" t="inlineStr">
        <is>
          <t>Interoperabilitas data berfokus pada pertukaran data, sedangkan integrasi aplikasi berfokus pada keterhubungan antar aplikasi.</t>
        </is>
      </c>
      <c r="F85" s="14" t="inlineStr">
        <is>
          <t>Perbedaan utama antara keduanya terletak pada **objek** yang dihubungkan:
1.  **Interoperabilitas Data:**
    *   **Fokus:** Data.
    *   **Inti:** Kemampuan berbagai sistem informasi untuk **saling berbagi dan bertukar data** (pertukaran data) sehingga data dapat digunakan secara konsisten dan dapat dibaca oleh sistem lain tanpa mengubah format aslinya.
    *   **Tujuan:** Menghilangkan silo data (data terfragmentasi) agar terjadi satu data pemerintah yang konsisten.
2.  **Integrasi Aplikasi:**
    *   **Fokus:** Sistem/Perangkat Lunak.
    *   **Inti:** Upaya **menyatukan fungsi-fungsi aplikasi** atau menghubungkan alur kerja antar-aplikasi agar bekerja sebagai satu kesatuan sistem yang utuh.
    *   **Tujuan:** Menghilangkan duplikasi aplikasi (efisiensi anggaran/aplikasi) sehingga pengguna merasakan layanan yang mulus (*seamless*) meskipun menggunakan berbagai platform berbeda.
**Ringkasan Singkat:**
*   **Interoperabilitas Data** = Menghubungkan **isi** (informasi/data).
*   **Integrasi Aplikasi** = Menghubungkan **wadah** (sistem/perangkat lunak).</t>
        </is>
      </c>
      <c r="G85" s="15" t="n">
        <v>100</v>
      </c>
      <c r="H85" s="15" t="n">
        <v>12.43</v>
      </c>
      <c r="I85" s="15" t="n">
        <v>4.45</v>
      </c>
      <c r="J85" s="15" t="n">
        <v>88.98999999999999</v>
      </c>
      <c r="K85" s="15" t="n">
        <v>88.98999999999999</v>
      </c>
      <c r="L85" s="16" t="n">
        <v>0.1101</v>
      </c>
      <c r="M85" s="16" t="n">
        <v>0.1101</v>
      </c>
      <c r="N85" s="15" t="n">
        <v>11.01</v>
      </c>
      <c r="O85" s="17" t="inlineStr">
        <is>
          <t>PASSED</t>
        </is>
      </c>
      <c r="P85" s="16" t="n">
        <v>0.8899</v>
      </c>
    </row>
    <row r="86">
      <c r="A86" s="12" t="n">
        <v>78</v>
      </c>
      <c r="B86" s="13" t="inlineStr">
        <is>
          <t>Faktual</t>
        </is>
      </c>
      <c r="C86" s="13" t="inlineStr">
        <is>
          <t>google/gemma-4-26b-a4b-it:free</t>
        </is>
      </c>
      <c r="D86" s="14" t="inlineStr">
        <is>
          <t>Jelaskan secara umum konsep 'indikator kinerja utama (IKU)'.</t>
        </is>
      </c>
      <c r="E86" s="14" t="inlineStr">
        <is>
          <t>Ukuran keberhasilan pencapaian sasaran prioritas.</t>
        </is>
      </c>
      <c r="F86" s="14" t="inlineStr">
        <is>
          <t>**</t>
        </is>
      </c>
      <c r="G86" s="15" t="n">
        <v>81.58</v>
      </c>
      <c r="H86" s="15" t="n">
        <v>155.28</v>
      </c>
      <c r="I86" s="15" t="n">
        <v>4.08</v>
      </c>
      <c r="J86" s="15" t="n">
        <v>81.58</v>
      </c>
      <c r="K86" s="15" t="n">
        <v>81.58</v>
      </c>
      <c r="L86" s="16" t="n">
        <v>0.1842</v>
      </c>
      <c r="M86" s="16" t="n">
        <v>0.1842</v>
      </c>
      <c r="N86" s="15" t="n">
        <v>18.42</v>
      </c>
      <c r="O86" s="18" t="inlineStr">
        <is>
          <t>FAILED</t>
        </is>
      </c>
      <c r="P86" s="16" t="n">
        <v>0.8158</v>
      </c>
    </row>
    <row r="87">
      <c r="A87" s="12" t="n">
        <v>79</v>
      </c>
      <c r="B87" s="13" t="inlineStr">
        <is>
          <t>Faktual</t>
        </is>
      </c>
      <c r="C87" s="13" t="inlineStr">
        <is>
          <t>google/gemma-4-26b-a4b-it:free</t>
        </is>
      </c>
      <c r="D87" s="14" t="inlineStr">
        <is>
          <t>Jelaskan secara umum konsep 'penilaian tingkat kematangan'.</t>
        </is>
      </c>
      <c r="E87" s="14" t="inlineStr">
        <is>
          <t>Penilaian sejauh mana praktik organisasi telah matang/terlembaga.</t>
        </is>
      </c>
      <c r="F87" s="14" t="inlineStr">
        <is>
          <t>**Penilaian Tingkat Kematangan (Maturity Level Assessment)** dalam SPBE adalah proses pengukuran untuk mengetahui sejauh mana tingkat kematangan atau efektivitas penyelenggaraan SPBE pada suatu instansi pemerintah.
**Inti konsepnya meliputi:**
1.  **Tujuan:** Mengukur sejauh mana praktik tata kelola, layanan, dan teknologi informasi telah diterapkan, terintegrasi, dan memberikan nilai manfaat bagi organisasi.
2.  **Indikator Utama:** Penilaian dilakukan terhadap 4 domain utama: **Tata Kelola, Layanan, Infrastruktur, dan Aplikasi**.
3.  **Skala Penilaian:** Menggunakan skala angka (biasanya 1-5) yang menunjukkan tingkatan dari tahap *Initial* (belum terorganisir), *Repeatable* (berulang), *Defined* (terdefinisi), *Managed* (terkelola), hingga *Optimized* (teroptimasi).
4.  **Output:** Hasil penilaian digunakan sebagai instrumen evaluasi untuk menentukan gap antara kondisi saat ini dengan target yang diinginkan, guna menentukan arah perbaikan (roadmap) SPBE ke depan.</t>
        </is>
      </c>
      <c r="G87" s="15" t="n">
        <v>83.90000000000001</v>
      </c>
      <c r="H87" s="15" t="n">
        <v>27.99</v>
      </c>
      <c r="I87" s="15" t="n">
        <v>4.19</v>
      </c>
      <c r="J87" s="15" t="n">
        <v>83.90000000000001</v>
      </c>
      <c r="K87" s="15" t="n">
        <v>83.90000000000001</v>
      </c>
      <c r="L87" s="16" t="n">
        <v>0.161</v>
      </c>
      <c r="M87" s="16" t="n">
        <v>0.161</v>
      </c>
      <c r="N87" s="15" t="n">
        <v>16.1</v>
      </c>
      <c r="O87" s="18" t="inlineStr">
        <is>
          <t>FAILED</t>
        </is>
      </c>
      <c r="P87" s="16" t="n">
        <v>0.839</v>
      </c>
    </row>
    <row r="88">
      <c r="A88" s="12" t="n">
        <v>80</v>
      </c>
      <c r="B88" s="13" t="inlineStr">
        <is>
          <t>Faktual</t>
        </is>
      </c>
      <c r="C88" s="13" t="inlineStr">
        <is>
          <t>google/gemma-4-26b-a4b-it:free</t>
        </is>
      </c>
      <c r="D88" s="14" t="inlineStr">
        <is>
          <t>Jelaskan secara umum konsep 'transformasi tata kelola pelayanan publik'.</t>
        </is>
      </c>
      <c r="E88" s="14" t="inlineStr">
        <is>
          <t>Perubahan menyeluruh tata kelola agar layanan lebih baik.</t>
        </is>
      </c>
      <c r="F88" s="14" t="inlineStr">
        <is>
          <t>Transformasi tata kelola pelayanan publik adalah perubahan mendasar dari model pelayanan konvensional berbasis kertas dan birokrasi kaku (analog) menuju pelayanan berbasis digital yang terintegrasi (elektronik).
Konsep ini mencakup tiga pilar utama:
1.  **Digitalisasi Proses:** Mengubah prosedur manual menjadi alur kerja digital yang otomatis.
2.  **Integrasi Data:** Menghilangkan silo data antar instansi melalui interoperabilitas agar data dapat saling berbagi pakai (sesuai prinsip Satu Data Indonesia).
3.  **User-Centricity (Orientasi Pengguna):** Menggeser fokus dari "kepentingan birokrasi" menjadi "kemudahan akses pengguna", di mana pelayanan menjadi lebih cepat, transparan, dan dapat diakses kapan saja (24/7) melalui platform digital terpadu.
**Intinya:** Mengubah cara kerja pemerintah dari yang bersifat administratif-manual menjadi berbasis digital yang terintegrasi untuk memberikan layanan yang lebih efektif, efisien, dan akuntabel.</t>
        </is>
      </c>
      <c r="G88" s="15" t="n">
        <v>84.56999999999999</v>
      </c>
      <c r="H88" s="15" t="n">
        <v>13.01</v>
      </c>
      <c r="I88" s="15" t="n">
        <v>4.23</v>
      </c>
      <c r="J88" s="15" t="n">
        <v>84.56999999999999</v>
      </c>
      <c r="K88" s="15" t="n">
        <v>84.56999999999999</v>
      </c>
      <c r="L88" s="16" t="n">
        <v>0.1543</v>
      </c>
      <c r="M88" s="16" t="n">
        <v>0.1543</v>
      </c>
      <c r="N88" s="15" t="n">
        <v>15.43</v>
      </c>
      <c r="O88" s="18" t="inlineStr">
        <is>
          <t>FAILED</t>
        </is>
      </c>
      <c r="P88" s="16" t="n">
        <v>0.8457</v>
      </c>
    </row>
    <row r="89">
      <c r="A89" s="12" t="n">
        <v>81</v>
      </c>
      <c r="B89" s="13" t="inlineStr">
        <is>
          <t>Faktual</t>
        </is>
      </c>
      <c r="C89" s="13" t="inlineStr">
        <is>
          <t>google/gemma-4-26b-a4b-it:free</t>
        </is>
      </c>
      <c r="D89" s="14" t="inlineStr">
        <is>
          <t>Jelaskan secara umum konsep 'ekosistem pusat data nasional'.</t>
        </is>
      </c>
      <c r="E89" s="14" t="inlineStr">
        <is>
          <t>Kumpulan fasilitas pusat data terkonsolidasi tingkat nasional.</t>
        </is>
      </c>
      <c r="F89" s="14" t="inlineStr">
        <is>
          <t>Konsep **Ekosistem Pusat Data Nasional (PDN)** adalah integrasi infrastruktur, teknologi, dan tata kelola data pemerintah yang terpusat untuk menghilangkan silo data antarinstansi.
Inti dari ekosistem ini meliputi:
1.  **Infrastruktur Terpusat:** Penyediaan fasilitas penyimpanan (storage) dan komputasi (cloud) berbasis standar keamanan tinggi untuk seluruh instansi pemerintah.
2.  **Integrasi Data:** Menghubungkan berbagai basis data sektoral ke dalam satu platform untuk mewujudkan *Satu Data Indonesia*.
3.  **Efisiensi Sumber Daya:** Mengurangi duplikasi pembangunan pusat data di tiap instansi guna menghemat anggaran negara (efisiensi belanja IT).
4.  **Keamanan Terpadu:** Implementasi standar keamanan siber yang seragam dan terpusat untuk melindungi aset informasi negara.
5.  **Interoperabilitas:** Menjamin kemampuan sistem antarinstansi untuk saling bertukar data secara otomatis dan akurat.
**Landasan Utama:** Peraturan Presiden No. 95 Tahun 2018 tentang SPBE.</t>
        </is>
      </c>
      <c r="G89" s="15" t="n">
        <v>100</v>
      </c>
      <c r="H89" s="15" t="n">
        <v>6.78</v>
      </c>
      <c r="I89" s="15" t="n">
        <v>4.31</v>
      </c>
      <c r="J89" s="15" t="n">
        <v>86.2</v>
      </c>
      <c r="K89" s="15" t="n">
        <v>86.2</v>
      </c>
      <c r="L89" s="16" t="n">
        <v>0.138</v>
      </c>
      <c r="M89" s="16" t="n">
        <v>0.138</v>
      </c>
      <c r="N89" s="15" t="n">
        <v>13.8</v>
      </c>
      <c r="O89" s="17" t="inlineStr">
        <is>
          <t>PASSED</t>
        </is>
      </c>
      <c r="P89" s="16" t="n">
        <v>0.862</v>
      </c>
    </row>
    <row r="90">
      <c r="A90" s="12" t="n">
        <v>82</v>
      </c>
      <c r="B90" s="13" t="inlineStr">
        <is>
          <t>Evaluatif</t>
        </is>
      </c>
      <c r="C90" s="13" t="inlineStr">
        <is>
          <t>google/gemma-4-26b-a4b-it:free</t>
        </is>
      </c>
      <c r="D90" s="14" t="inlineStr">
        <is>
          <t>Mengapa strategi penilaian perlu diintegrasikan ke dalam layanan digital?</t>
        </is>
      </c>
      <c r="E90" s="14" t="inlineStr">
        <is>
          <t>Agar penilaian berjalan secara real-time dan umpan balik perbaikan dapat diperoleh lebih cepat.</t>
        </is>
      </c>
      <c r="F90" s="14" t="inlineStr">
        <is>
          <t>Strategi penilaian perlu diintegrasikan ke dalam layanan digital karena:
1.  **Evaluasi Berkelanjutan:** Memastikan kualitas dan performa layanan terus terpantau secara *real-time* (bukan sekadar audit tahunan).
2.  **Dasar Pengambilan Keputusan:** Menyediakan data yang akurat untuk perbaikan sistem dan pengembangan fitur berbasis bukti (*evidence-based policy*).
3.  **Kepatuhan Regulasi:** Memastikan layanan memenuhi standar interoperabilitas, keamanan informasi, dan kerangka kerja SPBE yang ditetapkan pemerintah.
4.  **Optimasi Pengalaman Pengguna:** Mengukur efektivitas layanan dari sisi pengguna untuk menjamin layanan yang inklusif dan responsif.
5.  **Efisiensi Sumber Daya:** Menghindari pemborosan anggaran pada fitur yang tidak relevan atau tidak digunakan oleh masyarakat.</t>
        </is>
      </c>
      <c r="G90" s="15" t="n">
        <v>83.53</v>
      </c>
      <c r="H90" s="15" t="n">
        <v>4.6</v>
      </c>
      <c r="I90" s="15" t="n">
        <v>4.18</v>
      </c>
      <c r="J90" s="15" t="n">
        <v>83.53</v>
      </c>
      <c r="K90" s="15" t="n">
        <v>83.53</v>
      </c>
      <c r="L90" s="16" t="n">
        <v>0.1647</v>
      </c>
      <c r="M90" s="16" t="n">
        <v>0.1647</v>
      </c>
      <c r="N90" s="15" t="n">
        <v>16.47</v>
      </c>
      <c r="O90" s="18" t="inlineStr">
        <is>
          <t>FAILED</t>
        </is>
      </c>
      <c r="P90" s="16" t="n">
        <v>0.8353</v>
      </c>
    </row>
    <row r="91">
      <c r="A91" s="12" t="n">
        <v>83</v>
      </c>
      <c r="B91" s="13" t="inlineStr">
        <is>
          <t>Analisis</t>
        </is>
      </c>
      <c r="C91" s="13" t="inlineStr">
        <is>
          <t>google/gemma-4-26b-a4b-it:free</t>
        </is>
      </c>
      <c r="D91" s="14" t="inlineStr">
        <is>
          <t>Mengapa kanal umpan balik dua arah dapat meningkatkan kualitas layanan digital pemerintah dibandingkan komunikasi satu arah?</t>
        </is>
      </c>
      <c r="E91" s="14" t="inlineStr">
        <is>
          <t>Kanal umpan balik dua arah memungkinkan pengguna menyampaikan masukan dan keluhan sehingga layanan digital pemerintah</t>
        </is>
      </c>
      <c r="F91" s="14" t="inlineStr">
        <is>
          <t>Kanal umpan balik dua arah meningkatkan kualitas layanan digital karena:
1.  **Perbaikan Berkelanjutan (*Continuous Improvement*):** Pemerintah mendapatkan data riil mengenai kendala teknis dan kebutuhan pengguna untuk iterasi layanan secara tepat sasaran.
2.  **Peningkatan Pengalaman Pengguna (*User Experience*):** Interaksi dua arah memastikan layanan bersifat responsif terhadap keluhan, sehingga membangun kepercayaan (*trust*) masyarakat.
3.  **Akuntabilitas dan Transparansi:** Memungkinkan adanya mekanisme kontrol publik terhadap kinerja birokrasi digital, sesuai dengan prinsip tata kelola SPBE yang transparan.
4.  **Efisiensi Identifikasi Masalah:** Masalah atau *bug* pada sistem dapat dideteksi dan diperbaiki lebih cepat melalui laporan pengguna dibandingkan menunggu audit rutin.</t>
        </is>
      </c>
      <c r="G91" s="15" t="n">
        <v>100</v>
      </c>
      <c r="H91" s="15" t="n">
        <v>259.89</v>
      </c>
      <c r="I91" s="15" t="n">
        <v>4.53</v>
      </c>
      <c r="J91" s="15" t="n">
        <v>90.66</v>
      </c>
      <c r="K91" s="15" t="n">
        <v>90.66</v>
      </c>
      <c r="L91" s="16" t="n">
        <v>0.0934</v>
      </c>
      <c r="M91" s="16" t="n">
        <v>0.0934</v>
      </c>
      <c r="N91" s="15" t="n">
        <v>9.34</v>
      </c>
      <c r="O91" s="17" t="inlineStr">
        <is>
          <t>PASSED</t>
        </is>
      </c>
      <c r="P91" s="16" t="n">
        <v>0.9066</v>
      </c>
    </row>
    <row r="92">
      <c r="A92" s="12" t="n">
        <v>84</v>
      </c>
      <c r="B92" s="13" t="inlineStr">
        <is>
          <t>Faktual</t>
        </is>
      </c>
      <c r="C92" s="13" t="inlineStr">
        <is>
          <t>google/gemma-4-26b-a4b-it:free</t>
        </is>
      </c>
      <c r="D92" s="14" t="inlineStr">
        <is>
          <t>Jelaskan secara umum konsep 'perekaman aktivitas pemrosesan data pribadi'.</t>
        </is>
      </c>
      <c r="E92" s="14" t="inlineStr">
        <is>
          <t>Pencatatan kegiatan pemrosesan data pribadi untuk akuntabilitas.</t>
        </is>
      </c>
      <c r="F92" s="14" t="inlineStr">
        <is>
          <t>**Perekaman aktivitas pemrosesan data pribadi** adalah proses pencatatan secara sistematis dan berkelanjutan terhadap seluruh tahapan penggunaan data pribadi.
**Tujuan utama:**
1. **Akuntabilitas:** Sebagai bukti kepatuhan pengendali data terhadap regulasi (seperti UU PDP).
2. **Auditabilitas:** Memudahkan penelusuran jika terjadi pelanggaran atau kebocoran data.
3. **Keamanan:** Mendeteksi aktivitas mencurigakan secara dini.
**Cakupan rekaman meliputi:**
*   **Input:** Kapan dan bagaimana data diperoleh.
*   **Proses:** Bagaimana data diolah, digunakan, dan diakses.
*   **Output/Transfer:** Ke mana data dibagikan dan kepada siapa.
*   **Penyimpanan/Penghapusan:** Kapan data disimpan dan kapan data dimusnahkan.
Dalam tata kelola SPBE, hal ini merupakan bagian krusial dari **Manajemen Keamanan Informasi** untuk menjamin perlindungan hak subjek data.</t>
        </is>
      </c>
      <c r="G92" s="15" t="n">
        <v>100</v>
      </c>
      <c r="H92" s="15" t="n">
        <v>12.74</v>
      </c>
      <c r="I92" s="15" t="n">
        <v>4.44</v>
      </c>
      <c r="J92" s="15" t="n">
        <v>88.73999999999999</v>
      </c>
      <c r="K92" s="15" t="n">
        <v>88.73999999999999</v>
      </c>
      <c r="L92" s="16" t="n">
        <v>0.1126</v>
      </c>
      <c r="M92" s="16" t="n">
        <v>0.1126</v>
      </c>
      <c r="N92" s="15" t="n">
        <v>11.26</v>
      </c>
      <c r="O92" s="17" t="inlineStr">
        <is>
          <t>PASSED</t>
        </is>
      </c>
      <c r="P92" s="16" t="n">
        <v>0.8874</v>
      </c>
    </row>
    <row r="93">
      <c r="A93" s="12" t="n">
        <v>85</v>
      </c>
      <c r="B93" s="13" t="inlineStr">
        <is>
          <t>Faktual</t>
        </is>
      </c>
      <c r="C93" s="13" t="inlineStr">
        <is>
          <t>google/gemma-4-26b-a4b-it:free</t>
        </is>
      </c>
      <c r="D93" s="14" t="inlineStr">
        <is>
          <t>Jelaskan secara umum konsep 'penilaian dampak pelindungan data (DPIA)'.</t>
        </is>
      </c>
      <c r="E93" s="14" t="inlineStr">
        <is>
          <t>Analisis risiko pemrosesan data pribadi sebelum dijalankan.</t>
        </is>
      </c>
      <c r="F93" s="14" t="inlineStr">
        <is>
          <t>**Penilaian Dampak Pelindungan Data (*Data Protection Impact Assessment* - DPIA)** adalah proses sistematis untuk mengidentifikasi, menganalisis, dan memitigasi risiko terhadap hak dan kebebasan individu akibat pemrosesan data pribadi.
Dalam kerangka tata kelola data (termasuk dalam implementasi SPBE), DPIA berfungsi sebagai instrumen manajemen risiko untuk:
1.  **Identifikasi Risiko:** Mendeteksi potensi pelanggaran privasi dalam seluruh siklus hidup pemrosesan data.
2.  **Analisis Dampak:** Menilai sejauh mana pemrosesan data dapat merugikan subjek data (misal: diskriminasi, pencurian identitas, atau penyalahgunaan wewenang).
3.  **Mitigasi:** Menentukan langkah-langkah teknis dan organisasional (seperti enkripsi atau pembatasan akses) untuk meminimalisir risiko tersebut.
**Tujuan Utama:** Memastikan kepatuhan terhadap prinsip pelindungan data pribadi (sebagaimana diatur dalam UU PDP) dan menjamin akuntabilitas dalam tata kelola data pemerintah.</t>
        </is>
      </c>
      <c r="G93" s="15" t="n">
        <v>100</v>
      </c>
      <c r="H93" s="15" t="n">
        <v>150.55</v>
      </c>
      <c r="I93" s="15" t="n">
        <v>4.37</v>
      </c>
      <c r="J93" s="15" t="n">
        <v>87.38</v>
      </c>
      <c r="K93" s="15" t="n">
        <v>87.38</v>
      </c>
      <c r="L93" s="16" t="n">
        <v>0.1262</v>
      </c>
      <c r="M93" s="16" t="n">
        <v>0.1262</v>
      </c>
      <c r="N93" s="15" t="n">
        <v>12.62</v>
      </c>
      <c r="O93" s="17" t="inlineStr">
        <is>
          <t>PASSED</t>
        </is>
      </c>
      <c r="P93" s="16" t="n">
        <v>0.8738</v>
      </c>
    </row>
    <row r="94">
      <c r="A94" s="12" t="n">
        <v>86</v>
      </c>
      <c r="B94" s="13" t="inlineStr">
        <is>
          <t>Analisis</t>
        </is>
      </c>
      <c r="C94" s="13" t="inlineStr">
        <is>
          <t>google/gemma-4-26b-a4b-it:free</t>
        </is>
      </c>
      <c r="D94" s="14" t="inlineStr">
        <is>
          <t>Apa hubungan antara literasi digital ASN dengan pencapaian tingkat kematangan pada indikator Sumber Daya Manusia Pemdi?</t>
        </is>
      </c>
      <c r="E94" s="14" t="inlineStr">
        <is>
          <t>Literasi digital yang rendah membatasi kemampuan ASN dalam mengoperasikan dan mengembangkan sistem digital secara optimal</t>
        </is>
      </c>
      <c r="F94" s="14" t="inlineStr">
        <is>
          <t>Hubungan antara literasi digital ASN dengan tingkat kematangan indikator Sumber Daya Manusia (SDM) pada evaluasi SPBE adalah **hubungan kausalitas positif (berbanding lurus).**
Berikut rincian intinya:
1.  **Kompetensi sebagai Indikator:** Literasi digital merupakan komponen kompetensi teknis yang diukur untuk menentukan kualitas SDM dalam menjalankan sistem elektronik.
2.  **Peningkatan Skor Kematangan:** Semakin tinggi literasi digital ASN, semakin tinggi skor capaian pada domain **SDM** dalam penilaian kematangan SPBE, karena ASN dianggap mampu mengoperasikan, mengelola, dan mengamankan infrastruktur serta aplikasi digital pemerintah.
3.  **Transformasi Budaya Kerja:** Literasi digital yang tinggi mengubah perilaku ASN dari cara konvensional ke cara digital, yang merupakan prasyarat utama dalam memenuhi target kematangan SPBE pada aspek kapabilitas SDM.
**Kesimpulan:** Literasi digital ASN adalah **variabel penggerak utama** untuk meningkatkan nilai kematangan pada indikator SDM dalam arsitektur SPBE.</t>
        </is>
      </c>
      <c r="G94" s="15" t="n">
        <v>100</v>
      </c>
      <c r="H94" s="15" t="n">
        <v>156.25</v>
      </c>
      <c r="I94" s="15" t="n">
        <v>4.47</v>
      </c>
      <c r="J94" s="15" t="n">
        <v>89.34</v>
      </c>
      <c r="K94" s="15" t="n">
        <v>89.34</v>
      </c>
      <c r="L94" s="16" t="n">
        <v>0.1066</v>
      </c>
      <c r="M94" s="16" t="n">
        <v>0.1066</v>
      </c>
      <c r="N94" s="15" t="n">
        <v>10.66</v>
      </c>
      <c r="O94" s="17" t="inlineStr">
        <is>
          <t>PASSED</t>
        </is>
      </c>
      <c r="P94" s="16" t="n">
        <v>0.8934</v>
      </c>
    </row>
    <row r="95">
      <c r="A95" s="12" t="n">
        <v>87</v>
      </c>
      <c r="B95" s="13" t="inlineStr">
        <is>
          <t>Ekstraksi</t>
        </is>
      </c>
      <c r="C95" s="13" t="inlineStr">
        <is>
          <t>google/gemma-4-26b-a4b-it:free</t>
        </is>
      </c>
      <c r="D95" s="14" t="inlineStr">
        <is>
          <t>Sebutkan tiga komponen utama yang umumnya menjadi fokus dalam transformasi Pemerintah Digital.</t>
        </is>
      </c>
      <c r="E95" s="14" t="inlineStr">
        <is>
          <t>Manusia (People / Culture), Proses (Process / Governance), Teknologi (Technology) yang harus berjalan selaras.</t>
        </is>
      </c>
      <c r="F95" s="14" t="inlineStr">
        <is>
          <t>Tiga komponen utama dalam transformasi Pemerintah Digital adalah:
1.  **Tata Kelola (Governance):** Kebijakan, regulasi, struktur organisasi, dan kerangka kerja manajemen untuk memastikan keterpaduan antar instansi.
2.  **Infrastruktur dan Teknologi (Infrastructure &amp; Technology):** Pusat Data Nasional (PDN), jaringan intra pemerintah, platform berbagi pakai, serta keamanan siber.
3.  **Sumber Daya Manusia (Human Capital):** Kompetensi digital aparatur (ASN) dan perubahan budaya kerja menuju pola kerja digital.</t>
        </is>
      </c>
      <c r="G95" s="15" t="n">
        <v>100</v>
      </c>
      <c r="H95" s="15" t="n">
        <v>4.56</v>
      </c>
      <c r="I95" s="15" t="n">
        <v>4.39</v>
      </c>
      <c r="J95" s="15" t="n">
        <v>87.76000000000001</v>
      </c>
      <c r="K95" s="15" t="n">
        <v>87.76000000000001</v>
      </c>
      <c r="L95" s="16" t="n">
        <v>0.1224</v>
      </c>
      <c r="M95" s="16" t="n">
        <v>0.1224</v>
      </c>
      <c r="N95" s="15" t="n">
        <v>12.24</v>
      </c>
      <c r="O95" s="17" t="inlineStr">
        <is>
          <t>PASSED</t>
        </is>
      </c>
      <c r="P95" s="16" t="n">
        <v>0.8776</v>
      </c>
    </row>
    <row r="96">
      <c r="A96" s="12" t="n">
        <v>88</v>
      </c>
      <c r="B96" s="13" t="inlineStr">
        <is>
          <t>Faktual</t>
        </is>
      </c>
      <c r="C96" s="13" t="inlineStr">
        <is>
          <t>google/gemma-4-26b-a4b-it:free</t>
        </is>
      </c>
      <c r="D96" s="14" t="inlineStr">
        <is>
          <t>Bagaimana Tim Asesor Eksternal memverifikasi hasil Penilaian Mandiri Pemdi?</t>
        </is>
      </c>
      <c r="E96" s="14" t="inlineStr">
        <is>
          <t>Tim Asesor Eksternal menilai dokumen, melakukan interviu, dan visitasi untuk memverifikasi hasil Penilaian Mandiri.</t>
        </is>
      </c>
      <c r="F96" s="14" t="inlineStr">
        <is>
          <t>Tim Asesor Eksternal memverifikasi hasil Penilaian Mandiri Pemerintah Daerah (Pemda) melalui tiga tahapan utama:
1.  **Uji Dokumen (Desk Evaluation):** Memeriksa keabsahan dan relevansi bukti dukung (*evidence*) yang diunggah Pemda dalam aplikasi penilaian terhadap indikator yang diklaim.
2.  **Uji Petik/Wawancara (Interview):** Melakukan konfirmasi langsung kepada pejabat atau pengelola TI terkait untuk memastikan kesesuaian antara dokumen tertulis dengan implementasi riil di lapangan.
3.  **Observasi Lapangan (Field Assessment):** Meninjau langsung infrastruktur, pusat data, atau proses bisnis digital guna memvalidasi bahwa layanan SPBE benar-benar berjalan sesuai dengan skor yang dilaporkan.
**Inti Verifikasi:** Memastikan prinsip **kebenaran data** (apakah bukti ada?), **kepatuhan** (apakah sesuai regulasi?), dan **efektivitas** (apakah benar-benar diterapkan?).</t>
        </is>
      </c>
      <c r="G96" s="15" t="n">
        <v>100</v>
      </c>
      <c r="H96" s="15" t="n">
        <v>6.14</v>
      </c>
      <c r="I96" s="15" t="n">
        <v>4.42</v>
      </c>
      <c r="J96" s="15" t="n">
        <v>88.38</v>
      </c>
      <c r="K96" s="15" t="n">
        <v>88.38</v>
      </c>
      <c r="L96" s="16" t="n">
        <v>0.1162</v>
      </c>
      <c r="M96" s="16" t="n">
        <v>0.1162</v>
      </c>
      <c r="N96" s="15" t="n">
        <v>11.62</v>
      </c>
      <c r="O96" s="17" t="inlineStr">
        <is>
          <t>PASSED</t>
        </is>
      </c>
      <c r="P96" s="16" t="n">
        <v>0.8838</v>
      </c>
    </row>
    <row r="97">
      <c r="A97" s="12" t="n">
        <v>89</v>
      </c>
      <c r="B97" s="13" t="inlineStr">
        <is>
          <t>Faktual</t>
        </is>
      </c>
      <c r="C97" s="13" t="inlineStr">
        <is>
          <t>google/gemma-4-26b-a4b-it:free</t>
        </is>
      </c>
      <c r="D97" s="14" t="inlineStr">
        <is>
          <t>Apa indikator untuk menilai kompetensi digital ASN dalam layanan digital pemerintah?</t>
        </is>
      </c>
      <c r="E97" s="14" t="inlineStr">
        <is>
          <t>Kompetensi digital ASN meliputi literasi digital, pemanfaatan sistem, pengelolaan data, keamanan digital, kolaborasi digital, etika, dan adaptasi teknologi.</t>
        </is>
      </c>
      <c r="F97" s="14" t="inlineStr">
        <is>
          <t>Berdasarkan kerangka kerja pengembangan talenta digital nasional dan implementasi SPBE, indikator kompetensi digital ASN dinilai melalui empat dimensi utama:
1.  **Literasi Digital (*Digital Literacy*):** Kemampuan menggunakan perangkat keras, perangkat lunak, serta memahami etika dan keamanan digital dalam bekerja.
2.  **Kecakapan Digital (*Digital Skills*):** Kemampuan teknis mengoperasikan aplikasi layanan publik, mengelola data digital, dan memanfaatkan teknologi informasi untuk efisiensi kerja.
3.  **Budaya Digital (*Digital Culture*):** Kemampuan mengadaptasi nilai-nilai digital dalam budaya kerja birokrasi, termasuk kolaborasi secara daring dan penggunaan platform digital secara berkelanjutan.
4.  **Etika Digital (*Digital Ethics*):** Kemampuan menjaga integritas, keamanan informasi, privasi data, dan etika berkomunikasi dalam ekosistem digital pemerintah.
Secara operasional, penilaian ini juga mengacu pada standar **SKKNI (Standar Kompetensi Kerja Nasional Indonesia)** di bidang Teknologi Informasi dan Komunikasi.</t>
        </is>
      </c>
      <c r="G97" s="15" t="n">
        <v>100</v>
      </c>
      <c r="H97" s="15" t="n">
        <v>8.390000000000001</v>
      </c>
      <c r="I97" s="15" t="n">
        <v>4.52</v>
      </c>
      <c r="J97" s="15" t="n">
        <v>90.45</v>
      </c>
      <c r="K97" s="15" t="n">
        <v>90.45</v>
      </c>
      <c r="L97" s="16" t="n">
        <v>0.0955</v>
      </c>
      <c r="M97" s="16" t="n">
        <v>0.0955</v>
      </c>
      <c r="N97" s="15" t="n">
        <v>9.550000000000001</v>
      </c>
      <c r="O97" s="17" t="inlineStr">
        <is>
          <t>PASSED</t>
        </is>
      </c>
      <c r="P97" s="16" t="n">
        <v>0.9045</v>
      </c>
    </row>
    <row r="98">
      <c r="A98" s="12" t="n">
        <v>90</v>
      </c>
      <c r="B98" s="13" t="inlineStr">
        <is>
          <t>Faktual</t>
        </is>
      </c>
      <c r="C98" s="13" t="inlineStr">
        <is>
          <t>google/gemma-4-26b-a4b-it:free</t>
        </is>
      </c>
      <c r="D98" s="14" t="inlineStr">
        <is>
          <t>Bagaimana forum koordinasi Pemdi membantu kolaborasi antar unit pemerintah dan pihak eksternal?</t>
        </is>
      </c>
      <c r="E98" s="14" t="inlineStr">
        <is>
          <t>Forum koordinasi digunakan untuk pertukaran informasi, peningkatan kapasitas, dan kolaborasi antar instansi pemerintah dan pihak eksternal.</t>
        </is>
      </c>
      <c r="F98" s="14" t="inlineStr">
        <is>
          <t>Forum koordinasi Pemda (Pemerintah Daerah) memfasilitasi kolaborasi melalui tiga mekanisme utama:
1.  **Sinkronisasi Kebijakan &amp; Program:** Menyelaraskan perencanaan SPBE antar Organisasi Perangkat Daerah (OPD) agar tidak terjadi duplikasi aplikasi atau data, serta memastikan kesesuaian dengan target nasional.
2.  **Integrasi Data &amp; Layanan:** Menjadi wadah teknis untuk pembagian akses data (interoperabilitas) antar unit kerja dan koordinasi standarisasi layanan publik digital.
3.  **Kemitraan Strategis (Pihak Eksternal):** Menjembatani komunikasi dengan penyedia teknologi, akademisi, atau masyarakat dalam penyusunan standar teknis, uji coba inovasi, serta pemanfaatan infrastruktur bersama.
**Intinya:** Forum ini berfungsi sebagai **pusat penyelarasan (alignment)** untuk menghilangkan sekat sektoral (silo sistem) demi mewujudkan ekosistem digital yang terintegrasi.</t>
        </is>
      </c>
      <c r="G98" s="15" t="n">
        <v>100</v>
      </c>
      <c r="H98" s="15" t="n">
        <v>6.44</v>
      </c>
      <c r="I98" s="15" t="n">
        <v>4.37</v>
      </c>
      <c r="J98" s="15" t="n">
        <v>87.34</v>
      </c>
      <c r="K98" s="15" t="n">
        <v>87.34</v>
      </c>
      <c r="L98" s="16" t="n">
        <v>0.1266</v>
      </c>
      <c r="M98" s="16" t="n">
        <v>0.1266</v>
      </c>
      <c r="N98" s="15" t="n">
        <v>12.66</v>
      </c>
      <c r="O98" s="17" t="inlineStr">
        <is>
          <t>PASSED</t>
        </is>
      </c>
      <c r="P98" s="16" t="n">
        <v>0.8734</v>
      </c>
    </row>
    <row r="99">
      <c r="A99" s="12" t="n">
        <v>91</v>
      </c>
      <c r="B99" s="13" t="inlineStr">
        <is>
          <t>Faktual</t>
        </is>
      </c>
      <c r="C99" s="13" t="inlineStr">
        <is>
          <t>google/gemma-4-26b-a4b-it:free</t>
        </is>
      </c>
      <c r="D99" s="14" t="inlineStr">
        <is>
          <t>Bagaimana interoperabilitas data mempengaruhi kualitas indeks Pemdi nasional?</t>
        </is>
      </c>
      <c r="E99" s="14" t="inlineStr">
        <is>
          <t>Interoperabilitas data antar sistem memungkinkan pengukuran indeks Pemdi yang menyeluruh dan konsisten.</t>
        </is>
      </c>
      <c r="F99" s="14" t="inlineStr">
        <is>
          <t>Interoperabilitas data mempengaruhi kualitas Indeks SPBE nasional secara signifikan melalui dua domain utama:
1.  **Domain Data dan Informasi:** Interoperabilitas adalah indikator kunci dalam menilai sejauh mana data antar instansi dapat dibagikan, diintegrasikan, dan digunakan bersama secara teknis maupun semantik. Tanpa interoperabilitas, nilai pada domain ini akan rendah karena terjadi silo data.
2.  **Domain Layanan SPBE:** Interoperabilitas memungkinkan integrasi layanan (seperti layanan administrasi pemerintahan dan layanan publik) yang terhubung dengan data tunggal. Hal ini meningkatkan efisiensi dan kualitas layanan, yang secara langsung mendongkrak skor indeks.
**Intinya:** Interoperabilitas data adalah **penggerak utama (driver)** yang mengubah sistem yang terfragmentasi menjadi ekosistem digital yang terintegrasi. Semakin tinggi tingkat interoperabilitas, semakin tinggi pula nilai Indeks SPBE nasional.</t>
        </is>
      </c>
      <c r="G99" s="15" t="n">
        <v>100</v>
      </c>
      <c r="H99" s="15" t="n">
        <v>5.93</v>
      </c>
      <c r="I99" s="15" t="n">
        <v>4.28</v>
      </c>
      <c r="J99" s="15" t="n">
        <v>85.58</v>
      </c>
      <c r="K99" s="15" t="n">
        <v>85.58</v>
      </c>
      <c r="L99" s="16" t="n">
        <v>0.1442</v>
      </c>
      <c r="M99" s="16" t="n">
        <v>0.1442</v>
      </c>
      <c r="N99" s="15" t="n">
        <v>14.42</v>
      </c>
      <c r="O99" s="17" t="inlineStr">
        <is>
          <t>PASSED</t>
        </is>
      </c>
      <c r="P99" s="16" t="n">
        <v>0.8558</v>
      </c>
    </row>
    <row r="100">
      <c r="A100" s="12" t="n">
        <v>92</v>
      </c>
      <c r="B100" s="13" t="inlineStr">
        <is>
          <t>Faktual</t>
        </is>
      </c>
      <c r="C100" s="13" t="inlineStr">
        <is>
          <t>google/gemma-4-26b-a4b-it:free</t>
        </is>
      </c>
      <c r="D100" s="14" t="inlineStr">
        <is>
          <t>Apa metode yang digunakan untuk mengevaluasi pengelolaan data dalam Pemdi?</t>
        </is>
      </c>
      <c r="E100" s="14" t="inlineStr">
        <is>
          <t>Evaluasi pengelolaan data dilakukan melalui kuesioner untuk menilai tata kelola data, metadata, dan interoperabilitas.</t>
        </is>
      </c>
      <c r="F100" s="14" t="inlineStr">
        <is>
          <t>Metode yang digunakan untuk mengevaluasi pengelolaan data dalam Pemerintah Daerah (Pemda) adalah melalui **Evaluasi Penyelenggaraan SPBE** yang diintegrasikan dengan **Evaluasi Tata Kelola Data**.
Secara spesifik, evaluasi dilakukan berdasarkan indikator dalam **Peraturan Menteri PANRB Nomor 59 Tahun 2020**, yang mencakup:
1.  **Penerapan Kebijakan Data:** Evaluasi terhadap ketersediaan regulasi internal (Perkada) terkait manajemen data.
2.  **Penerapan Tata Kelola Data:** Evaluasi terhadap struktur organisasi (seperti peran *Data Steward*), standar data, dan metadata.
3.  **Kualitas Data:** Evaluasi terhadap akurasi, konsistensi, kelengkapan, dan kemutakhiran data.
4.  **Keamanan Data:** Evaluasi terhadap perlindungan data dari akses tidak sah dan integritas data.
5.  **Pemanfaatan Data:** Evaluasi terhadap penggunaan data dalam pengambilan keputusan (Analitik/Satu Data Indonesia).
Evaluasi ini bertujuan untuk mengukur tingkat kematangan (*maturity level*) pengelolaan data daerah sesuai dengan prinsip **Satu Data Indonesia (Perpres 39/2019)**.</t>
        </is>
      </c>
      <c r="G100" s="15" t="n">
        <v>100</v>
      </c>
      <c r="H100" s="15" t="n">
        <v>8.25</v>
      </c>
      <c r="I100" s="15" t="n">
        <v>4.32</v>
      </c>
      <c r="J100" s="15" t="n">
        <v>86.34</v>
      </c>
      <c r="K100" s="15" t="n">
        <v>86.34</v>
      </c>
      <c r="L100" s="16" t="n">
        <v>0.1366</v>
      </c>
      <c r="M100" s="16" t="n">
        <v>0.1366</v>
      </c>
      <c r="N100" s="15" t="n">
        <v>13.66</v>
      </c>
      <c r="O100" s="17" t="inlineStr">
        <is>
          <t>PASSED</t>
        </is>
      </c>
      <c r="P100" s="16" t="n">
        <v>0.8633999999999999</v>
      </c>
    </row>
    <row r="101">
      <c r="A101" s="12" t="n">
        <v>93</v>
      </c>
      <c r="B101" s="13" t="inlineStr">
        <is>
          <t>Faktual</t>
        </is>
      </c>
      <c r="C101" s="13" t="inlineStr">
        <is>
          <t>google/gemma-4-26b-a4b-it:free</t>
        </is>
      </c>
      <c r="D101" s="14" t="inlineStr">
        <is>
          <t>Bagaimana kriteria penilaian keamanan siber Pemdi diterapkan pada instansi pemerintah?</t>
        </is>
      </c>
      <c r="E101" s="14" t="inlineStr">
        <is>
          <t>Keamanan Pemdi dinilai melalui audit keamanan, penerapan kriptografi, dan kapabilitas penanganan insiden siber.</t>
        </is>
      </c>
      <c r="F101" s="14" t="inlineStr">
        <is>
          <t>Kriteria penilaian keamanan siber pada instansi pemerintah (Pemdi) diterapkan melalui mekanisme **Audit Keamanan Informasi** dan **Evaluasi Keamanan Siber** yang mengacu pada standar **ISO/IEC 27001** dan regulasi **BSSN**.
Berikut adalah inti kriterianya:
1.  **Tata Kelola Keamanan Informasi:** Ketersediaan kebijakan, struktur organisasi (CSIRT/Tim Tanggap Insiden), dan pembagian peran/tanggung jawab keamanan siber.
2.  **Manajemen Risiko:** Kemampuan instansi dalam mengidentifikasi, menganalisis, dan memitigasi risiko terhadap aset informasi digital.
3.  **Keamanan Operasional &amp; Teknis:** Penerapan kontrol teknis seperti pengamanan jaringan, manajemen akses (identitas), perlindungan data (enkripsi), serta manajemen kerentanan (*vulnerability management*).
4.  **Ketahanan Insiden (*Incident Resilience*):** Efektivitas prosedur deteksi, penanganan, pemulihan (*recovery*), dan pelaporan jika terjadi insiden keamanan siber.
5.  **Kepatuhan Regulasi:** Kesesuaian implementasi dengan Peraturan Presiden No. 95 Tahun 2018 (SPBE) dan standar teknis yang ditetapkan BSSN.
**Metode Penilaian:** Melalui pengujian teknis (*Penetration Testing*), audit dokumentasi, serta evaluasi kematangan (*Maturity Level*) terhadap kontrol keamanan yang diterapkan.</t>
        </is>
      </c>
      <c r="G101" s="15" t="n">
        <v>100</v>
      </c>
      <c r="H101" s="15" t="n">
        <v>10.61</v>
      </c>
      <c r="I101" s="15" t="n">
        <v>4.46</v>
      </c>
      <c r="J101" s="15" t="n">
        <v>89.12</v>
      </c>
      <c r="K101" s="15" t="n">
        <v>89.12</v>
      </c>
      <c r="L101" s="16" t="n">
        <v>0.1088</v>
      </c>
      <c r="M101" s="16" t="n">
        <v>0.1088</v>
      </c>
      <c r="N101" s="15" t="n">
        <v>10.88</v>
      </c>
      <c r="O101" s="17" t="inlineStr">
        <is>
          <t>PASSED</t>
        </is>
      </c>
      <c r="P101" s="16" t="n">
        <v>0.8912</v>
      </c>
    </row>
    <row r="102">
      <c r="A102" s="12" t="n">
        <v>94</v>
      </c>
      <c r="B102" s="13" t="inlineStr">
        <is>
          <t>Faktual</t>
        </is>
      </c>
      <c r="C102" s="13" t="inlineStr">
        <is>
          <t>google/gemma-4-26b-a4b-it:free</t>
        </is>
      </c>
      <c r="D102" s="14" t="inlineStr">
        <is>
          <t>Bagaimana infrastruktur Pemdi mendukung aplikasi prioritas dan interoperabilitas?</t>
        </is>
      </c>
      <c r="E102" s="14" t="inlineStr">
        <is>
          <t>Infrastruktur Pemdi mendukung aplikasi prioritas melalui perangkat keras, perangkat lunak, dan sistem yang interoperabel.</t>
        </is>
      </c>
      <c r="F102" s="14" t="inlineStr">
        <is>
          <t>Infrastruktur Pusat Data Nasional (PDN) yang dikelola oleh Kementerian Komunikasi dan Informatika (sebagai penyedia infrastruktur SPBE nasional) mendukung aplikasi prioritas dan interoperabilitas melalui tiga pilar utama:
1.  **Pusat Data Terpadu (Cloud Computing):** Menyediakan kapasitas komputasi dan penyimpanan terpusat yang skalabel untuk menampung beban kerja aplikasi prioritas nasional tanpa perlu membangun infrastruktur fisik di setiap instansi.
2.  **Jaringan Intra Pemerintah:** Menyediakan konektivitas aman dan privat antar instansi pemerintah untuk memastikan pertukaran data antar aplikasi berjalan cepat dan stabil.
3.  **Platform Integrasi (API Management &amp; Middleware):** Menyediakan standar konektivitas (melalui API) yang memungkinkan berbagai aplikasi berbeda untuk saling "berbicara" (interoperabilitas), sehingga data dapat mengalir antar sistem tanpa hambatan teknis (silogisme data).
**Intinya:** Infrastruktur menyediakan **wadah** (PDN), **jalur** (Jaringan), dan **bahasa standar** (API/Interoperabilitas) agar aplikasi prioritas dapat berjalan efisien dan terintegrasi secara nasional.</t>
        </is>
      </c>
      <c r="G102" s="15" t="n">
        <v>100</v>
      </c>
      <c r="H102" s="15" t="n">
        <v>9.720000000000001</v>
      </c>
      <c r="I102" s="15" t="n">
        <v>4.32</v>
      </c>
      <c r="J102" s="15" t="n">
        <v>86.34999999999999</v>
      </c>
      <c r="K102" s="15" t="n">
        <v>86.34999999999999</v>
      </c>
      <c r="L102" s="16" t="n">
        <v>0.1365</v>
      </c>
      <c r="M102" s="16" t="n">
        <v>0.1365</v>
      </c>
      <c r="N102" s="15" t="n">
        <v>13.65</v>
      </c>
      <c r="O102" s="17" t="inlineStr">
        <is>
          <t>PASSED</t>
        </is>
      </c>
      <c r="P102" s="16" t="n">
        <v>0.8635</v>
      </c>
    </row>
    <row r="103">
      <c r="A103" s="12" t="n">
        <v>95</v>
      </c>
      <c r="B103" s="13" t="inlineStr">
        <is>
          <t>Faktual</t>
        </is>
      </c>
      <c r="C103" s="13" t="inlineStr">
        <is>
          <t>google/gemma-4-26b-a4b-it:free</t>
        </is>
      </c>
      <c r="D103" s="14" t="inlineStr">
        <is>
          <t>Bagaimana evaluasi kepuasan pengguna layanan digital dilakukan di instansi pemerintah?</t>
        </is>
      </c>
      <c r="E103" s="14" t="inlineStr">
        <is>
          <t>Kepuasan pengguna diukur melalui fasilitas dukungan dan pengelolaan umpan balik untuk meningkatkan layanan digital.</t>
        </is>
      </c>
      <c r="F103" s="14" t="inlineStr">
        <is>
          <t>Evaluasi kepuasan pengguna layanan digital di instansi pemerintah dilakukan melalui mekanisme berikut:
1.  **Metode Pengumpulan Data:**
    *   **Survei Kepuasan Masyarakat (SKM):** Dilakukan secara berkala melalui kuesioner digital (online) terhadap pengguna layanan.
    *   **Indikator Digital:** Analisis data logistik (*log files*), *bounce rate*, waktu muat halaman (*loading time*), dan tingkat keberhasilan transaksi pada aplikasi.
    *   **Feedback Langsung:** Fitur ulasan/rating pada aplikasi, media sosial, atau kanal pengaduan (seperti SP4N-LAPOR!).
2.  **Dimensi Pengukuran (Berdasarkan Standar Pelayanan Publik):**
    *   **Kemudahan Penggunaan (*Usability*):** Kemudahan navigasi dan antarmuka (UI/UX).
    *   **Kecepatan Layanan:** Waktu respon sistem dan kecepatan penyelesaian proses layanan.
    *   **Ketersediaan Layanan:** Stabilitas sistem dan minimnya waktu henti (*downtime*).
    *   **Kualitas Informasi:** Kejelasan informasi dan akurasi data yang disajikan.
3.  **Tujuan &amp; Output:**
    *   **Analisis Kesenjangan:** Membandingkan ekspektasi pengguna dengan realitas layanan.
    *   **Perbaikan Berkelanjutan (*Continuous Improvement*):** Hasil evaluasi digunakan sebagai dasar pemutakhiran fitur, perbaikan *bug*, dan penyempurnaan kebijakan tata kelola layanan digital (sebagaimana diamanatkan dalam kerangka kerja SPBE).</t>
        </is>
      </c>
      <c r="G103" s="15" t="n">
        <v>100</v>
      </c>
      <c r="H103" s="15" t="n">
        <v>10.99</v>
      </c>
      <c r="I103" s="15" t="n">
        <v>4.36</v>
      </c>
      <c r="J103" s="15" t="n">
        <v>87.22</v>
      </c>
      <c r="K103" s="15" t="n">
        <v>87.22</v>
      </c>
      <c r="L103" s="16" t="n">
        <v>0.1278</v>
      </c>
      <c r="M103" s="16" t="n">
        <v>0.1278</v>
      </c>
      <c r="N103" s="15" t="n">
        <v>12.78</v>
      </c>
      <c r="O103" s="17" t="inlineStr">
        <is>
          <t>PASSED</t>
        </is>
      </c>
      <c r="P103" s="16" t="n">
        <v>0.8722</v>
      </c>
    </row>
    <row r="104">
      <c r="A104" s="12" t="n">
        <v>96</v>
      </c>
      <c r="B104" s="13" t="inlineStr">
        <is>
          <t>Faktual</t>
        </is>
      </c>
      <c r="C104" s="13" t="inlineStr">
        <is>
          <t>google/gemma-4-26b-a4b-it:free</t>
        </is>
      </c>
      <c r="D104" s="14" t="inlineStr">
        <is>
          <t>Apa langkah evaluasi pemanfaatan data geospasial untuk mendukung perencanaan pemerintah?</t>
        </is>
      </c>
      <c r="E104" s="14" t="inlineStr">
        <is>
          <t>Evaluasi data geospasial memastikan data akurat, terintegrasi, dan mendukung layanan digital pemerintah.</t>
        </is>
      </c>
      <c r="F104" s="14" t="inlineStr">
        <is>
          <t>Langkah evaluasi pemanfaatan data geospasial untuk perencanaan pemerintah adalah:
1.  **Audit Ketersediaan &amp; Kualitas Data:** Memastikan data geospasial tersedia, mutakhir, akurat, dan sesuai dengan standar serta metadata yang ditetapkan (sesuai prinsip Satu Data Indonesia).
2.  **Penilaian Integrasi (Interoperabilitas):** Mengevaluasi sejauh mana data geospasial dapat dibagikan dan diintegrasikan antar instansi melalui Infrastruktur Data Geospasial (IDG).
3.  **Analisis Relevansi Kebijakan:** Menilai apakah penggunaan data geospasial telah menjadi dasar (evidence-based) dalam penyusunan dokumen perencanaan (RPJMN/D, RTRW, dll).
4.  **Evaluasi Efektivitas Pemanfaatan:** Mengukur dampak penggunaan data terhadap akurasi pengambilan keputusan dan efisiensi pelaksanaan program pemerintah.
5.  **Identifikasi Kesenjangan (Gap Analysis):** Menemukan kendala teknis, regulasi, atau sumber daya manusia dalam pemanfaatan data untuk perbaikan berkelanjutan.</t>
        </is>
      </c>
      <c r="G104" s="15" t="n">
        <v>100</v>
      </c>
      <c r="H104" s="15" t="n">
        <v>6.74</v>
      </c>
      <c r="I104" s="15" t="n">
        <v>4.43</v>
      </c>
      <c r="J104" s="15" t="n">
        <v>88.62</v>
      </c>
      <c r="K104" s="15" t="n">
        <v>88.62</v>
      </c>
      <c r="L104" s="16" t="n">
        <v>0.1138</v>
      </c>
      <c r="M104" s="16" t="n">
        <v>0.1138</v>
      </c>
      <c r="N104" s="15" t="n">
        <v>11.38</v>
      </c>
      <c r="O104" s="17" t="inlineStr">
        <is>
          <t>PASSED</t>
        </is>
      </c>
      <c r="P104" s="16" t="n">
        <v>0.8862</v>
      </c>
    </row>
    <row r="105">
      <c r="A105" s="12" t="n">
        <v>97</v>
      </c>
      <c r="B105" s="13" t="inlineStr">
        <is>
          <t>Faktual</t>
        </is>
      </c>
      <c r="C105" s="13" t="inlineStr">
        <is>
          <t>google/gemma-4-26b-a4b-it:free</t>
        </is>
      </c>
      <c r="D105" s="14" t="inlineStr">
        <is>
          <t>Bagaimana tata kelola statistik sektoral digunakan untuk mendukung laporan nasional?</t>
        </is>
      </c>
      <c r="E105" s="14" t="inlineStr">
        <is>
          <t>Indikator Pembangunan Statistik memastikan unit kerja menghasilkan data akurat dan terintegrasi untuk laporan nasional.</t>
        </is>
      </c>
      <c r="F105" s="14" t="inlineStr">
        <is>
          <t>Tata kelola statistik sektoral mendukung laporan nasional melalui mekanisme **Satu Data Indonesia (SDI)** dengan alur sebagai berikut:
1.  **Produksi Data:** Instansi Pemerintah (Produsen Data) melakukan pengumpulan dan pengolahan data sesuai dengan standar data yang ditetapkan.
2.  **Validasi &amp; Verifikasi:** Pembina Statistik (Badan Pusat Statistik) melakukan validasi terhadap hasil pengolahan data sektoral agar memenuhi kaidah ilmiah.
3.  **Integrasi &amp; Interoperabilitas:** Data yang valid diunggah ke dalam portal data nasional untuk menjamin kemudahan pertukaran data antar instansi (interoperabilitas).
4.  **Konsolidasi Laporan:** Data sektoral yang telah terintegrasi digunakan sebagai bahan dasar penyusunan laporan nasional (seperti laporan capaian pembangunan nasional, evaluasi kinerja pemerintah, atau statistik wajib) secara akurat, mutakhir, dan dapat dipertanggungjawabkan.
**Intinya:** Statistik sektoral berperan sebagai **penyedia input data berkualitas** yang telah terstandarisasi untuk diolah menjadi **output laporan nasional** yang kredibel.</t>
        </is>
      </c>
      <c r="G105" s="15" t="n">
        <v>100</v>
      </c>
      <c r="H105" s="15" t="n">
        <v>9.289999999999999</v>
      </c>
      <c r="I105" s="15" t="n">
        <v>4.38</v>
      </c>
      <c r="J105" s="15" t="n">
        <v>87.53</v>
      </c>
      <c r="K105" s="15" t="n">
        <v>87.53</v>
      </c>
      <c r="L105" s="16" t="n">
        <v>0.1247</v>
      </c>
      <c r="M105" s="16" t="n">
        <v>0.1247</v>
      </c>
      <c r="N105" s="15" t="n">
        <v>12.47</v>
      </c>
      <c r="O105" s="17" t="inlineStr">
        <is>
          <t>PASSED</t>
        </is>
      </c>
      <c r="P105" s="16" t="n">
        <v>0.8753</v>
      </c>
    </row>
    <row r="106">
      <c r="A106" s="12" t="n">
        <v>98</v>
      </c>
      <c r="B106" s="13" t="inlineStr">
        <is>
          <t>Faktual</t>
        </is>
      </c>
      <c r="C106" s="13" t="inlineStr">
        <is>
          <t>google/gemma-4-26b-a4b-it:free</t>
        </is>
      </c>
      <c r="D106" s="14" t="inlineStr">
        <is>
          <t>Apa tujuan prosedur reviu Arsitektur Pemdi?</t>
        </is>
      </c>
      <c r="E106" s="14" t="inlineStr">
        <is>
          <t>Reviu Arsitektur Pemdi dilakukan untuk memastikan transformasi digital berjalan terpadu sesuai pedoman.</t>
        </is>
      </c>
      <c r="F106" s="14" t="inlineStr">
        <is>
          <t>Tujuan prosedur reviu Arsitektur Pemerintahan Daerah (Pemda) adalah untuk:
1. **Memastikan Keselarasan:** Menjamin arsitektur TI daerah selaras dengan Arsitektur SPBE Nasional dan Rencana Pembangunan Jangka Menengah Daerah (RPJMD).
2. **Validasi Akurasi:** Memastikan ketepatan data, struktur, dan keterkaitan antar komponen dalam dokumen arsitektur.
3. **Standarisasi:** Menjamin penerapan standar teknis dan tata kelola sesuai dengan regulasi yang berlaku.
4. **Mitigasi Risiko:** Mengidentifikasi potensi ketidakefektifan atau tumpang tindih sistem sebelum implementasi dilakukan.
5. **Optimalisasi Sumber Daya:** Memastikan perencanaan teknologi informasi mendukung efisiensi penggunaan anggaran dan integrasi layanan publik.</t>
        </is>
      </c>
      <c r="G106" s="15" t="n">
        <v>100</v>
      </c>
      <c r="H106" s="15" t="n">
        <v>8.31</v>
      </c>
      <c r="I106" s="15" t="n">
        <v>4.44</v>
      </c>
      <c r="J106" s="15" t="n">
        <v>88.88</v>
      </c>
      <c r="K106" s="15" t="n">
        <v>88.88</v>
      </c>
      <c r="L106" s="16" t="n">
        <v>0.1112</v>
      </c>
      <c r="M106" s="16" t="n">
        <v>0.1112</v>
      </c>
      <c r="N106" s="15" t="n">
        <v>11.12</v>
      </c>
      <c r="O106" s="17" t="inlineStr">
        <is>
          <t>PASSED</t>
        </is>
      </c>
      <c r="P106" s="16" t="n">
        <v>0.8888</v>
      </c>
    </row>
    <row r="107">
      <c r="A107" s="12" t="n">
        <v>99</v>
      </c>
      <c r="B107" s="13" t="inlineStr">
        <is>
          <t>Ekstraksi</t>
        </is>
      </c>
      <c r="C107" s="13" t="inlineStr">
        <is>
          <t>google/gemma-4-26b-a4b-it:free</t>
        </is>
      </c>
      <c r="D107" s="14" t="inlineStr">
        <is>
          <t>Sebutkan tiga metode yang umum digunakan untuk mengelola ketidakpastian dalam perencanaan Pemerintah Digital.</t>
        </is>
      </c>
      <c r="E107" s="14" t="inlineStr">
        <is>
          <t>Analisis skenario, simulasi Monte Carlo, dan forecasting.</t>
        </is>
      </c>
      <c r="F107" s="14" t="inlineStr">
        <is>
          <t>Tiga metode yang umum digunakan untuk mengelola ketidakpastian dalam perencanaan Pemerintah Digital adalah:
1. **Scenario Planning (Perencanaan Skenario):** Menyusun berbagai kemungkinan masa depan (skenario terbaik, terburuk, dan paling mungkin) untuk menyiapkan langkah mitigasi.
2. **Agile Planning (Perencanaan Tangkas):** Menggunakan pendekatan iteratif dan adaptif yang memungkinkan penyesuaian rencana secara cepat berdasarkan umpan balik dan perubahan kondisi di lapangan.
3. **Risk-Based Planning (Perencanaan Berbasis Risiko):** Mengidentifikasi, menganalisis, dan memprioritaskan tindakan berdasarkan tingkat risiko yang dapat menghambat pencapaian tujuan digitalisasi.</t>
        </is>
      </c>
      <c r="G107" s="15" t="n">
        <v>100</v>
      </c>
      <c r="H107" s="15" t="n">
        <v>10.68</v>
      </c>
      <c r="I107" s="15" t="n">
        <v>4.36</v>
      </c>
      <c r="J107" s="15" t="n">
        <v>87.18000000000001</v>
      </c>
      <c r="K107" s="15" t="n">
        <v>87.18000000000001</v>
      </c>
      <c r="L107" s="16" t="n">
        <v>0.1282</v>
      </c>
      <c r="M107" s="16" t="n">
        <v>0.1282</v>
      </c>
      <c r="N107" s="15" t="n">
        <v>12.82</v>
      </c>
      <c r="O107" s="17" t="inlineStr">
        <is>
          <t>PASSED</t>
        </is>
      </c>
      <c r="P107" s="16" t="n">
        <v>0.8718</v>
      </c>
    </row>
    <row r="108">
      <c r="A108" s="12" t="n">
        <v>100</v>
      </c>
      <c r="B108" s="13" t="inlineStr">
        <is>
          <t>Faktual</t>
        </is>
      </c>
      <c r="C108" s="13" t="inlineStr">
        <is>
          <t>google/gemma-4-26b-a4b-it:free</t>
        </is>
      </c>
      <c r="D108" s="14" t="inlineStr">
        <is>
          <t>Bagaimana mekanisme tindak lanjut hasil reviu Pemdi dijalankan untuk meningkatkan layanan digital?</t>
        </is>
      </c>
      <c r="E108" s="14" t="inlineStr">
        <is>
          <t>Hasil reviu ditindaklanjuti melalui penerapan perbaikan dan peningkatan layanan digital sesuai pedoman.</t>
        </is>
      </c>
      <c r="F108" s="14" t="inlineStr">
        <is>
          <t>Mekanisme tindak lanjut hasil reviu Pemda (Pemantauan dan Evaluasi) untuk meningkatkan layanan digital dilakukan melalui tahapan berikut:
1.  **Penyusunan Rencana Aksi:** Pemerintah Daerah menyusun rencana perbaikan berdasarkan rekomendasi hasil reviu (berdasarkan indeks SPBE, audit teknologi informasi, atau evaluasi layanan publik).
2.  **Pemetaan Gap (Kesenjangan):** Mengidentifikasi ketidaksesuaian antara kondisi aktual layanan digital dengan standar regulasi (misalnya: standar interoperabilitas data atau keamanan informasi).
3.  **Alokasi Sumber Daya:** Pengalokasian anggaran, SDM (Digital Talent), dan infrastruktur dalam dokumen perencanaan (RKPD/Renja SKPD) untuk menjalankan perbaikan.
4.  **Implementasi Teknis:**
    *   **Integrasi Data:** Mengintegrifikasi aplikasi sektoral ke dalam Portal Layanan Publik atau berbagi pakai data melalui keterhubungan sistem (API).
    *   **Peningkatan UX/UI:** Memperbaiki antarmuka layanan agar lebih user-centric.
    *   **Penguatan Keamanan:** Implementasi standar ISO/IEC 27001 atau standar keamanan informasi lainnya.
5.  **Monitoring dan Evaluasi Berkala:** Melakukan pengawasan terhadap pelaksanaan rencana aksi untuk memastikan rekomendasi telah diimplementasikan dan berdampak pada peningkatan kualitas layanan.
**Inti Jawaban:** Tindak lanjut dilakukan melalui **integrasi rencana aksi ke dalam dokumen perencanaan daerah** untuk memperbaiki gap layanan melalui integrasi sistem, penguatan keamanan, dan peningkatan kualitas layanan digital.</t>
        </is>
      </c>
      <c r="G108" s="15" t="n">
        <v>100</v>
      </c>
      <c r="H108" s="15" t="n">
        <v>11.82</v>
      </c>
      <c r="I108" s="15" t="n">
        <v>4.35</v>
      </c>
      <c r="J108" s="15" t="n">
        <v>86.98</v>
      </c>
      <c r="K108" s="15" t="n">
        <v>86.98</v>
      </c>
      <c r="L108" s="16" t="n">
        <v>0.1302</v>
      </c>
      <c r="M108" s="16" t="n">
        <v>0.1302</v>
      </c>
      <c r="N108" s="15" t="n">
        <v>13.02</v>
      </c>
      <c r="O108" s="17" t="inlineStr">
        <is>
          <t>PASSED</t>
        </is>
      </c>
      <c r="P108" s="16" t="n">
        <v>0.8698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2026-07-13T02:08:24Z</dcterms:created>
  <dcterms:modified xsi:type="dcterms:W3CDTF">2026-07-13T02:08:24Z</dcterms:modified>
</cp:coreProperties>
</file>